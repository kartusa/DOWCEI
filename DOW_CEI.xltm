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kumenty\Szablony\"/>
    </mc:Choice>
  </mc:AlternateContent>
  <bookViews>
    <workbookView xWindow="0" yWindow="120" windowWidth="19185" windowHeight="11640"/>
  </bookViews>
  <sheets>
    <sheet name="METRYKA" sheetId="1" r:id="rId1"/>
    <sheet name="DOW_CEI" sheetId="2" r:id="rId2"/>
    <sheet name="WYNIKI_1" sheetId="3" r:id="rId3"/>
    <sheet name="WYNIKI_2" sheetId="4" state="hidden" r:id="rId4"/>
    <sheet name="WYNIKI_3" sheetId="5" state="hidden" r:id="rId5"/>
    <sheet name="WYNIKI_4" sheetId="6" state="hidden" r:id="rId6"/>
  </sheets>
  <definedNames>
    <definedName name="_xlnm.Print_Area" localSheetId="0">METRYKA!$A$6:$J$62</definedName>
  </definedNames>
  <calcPr calcId="152511"/>
</workbook>
</file>

<file path=xl/calcChain.xml><?xml version="1.0" encoding="utf-8"?>
<calcChain xmlns="http://schemas.openxmlformats.org/spreadsheetml/2006/main">
  <c r="C35" i="6" l="1"/>
  <c r="C33" i="6"/>
  <c r="H30" i="6"/>
  <c r="H28" i="6"/>
  <c r="H26" i="6"/>
  <c r="D22" i="6"/>
  <c r="D21" i="6"/>
  <c r="D20" i="6"/>
  <c r="E11" i="6"/>
  <c r="H9" i="6"/>
  <c r="D9" i="6"/>
  <c r="C7" i="6"/>
  <c r="I5" i="6"/>
  <c r="B5" i="6"/>
  <c r="G3" i="6"/>
  <c r="B3" i="6"/>
  <c r="C35" i="5"/>
  <c r="C33" i="5"/>
  <c r="H30" i="5"/>
  <c r="H28" i="5"/>
  <c r="H26" i="5"/>
  <c r="D22" i="5"/>
  <c r="D21" i="5"/>
  <c r="D20" i="5"/>
  <c r="E11" i="5"/>
  <c r="H9" i="5"/>
  <c r="D9" i="5"/>
  <c r="C7" i="5"/>
  <c r="I5" i="5"/>
  <c r="B5" i="5"/>
  <c r="G3" i="5"/>
  <c r="B3" i="5"/>
  <c r="C35" i="4"/>
  <c r="C33" i="4"/>
  <c r="H30" i="4"/>
  <c r="H28" i="4"/>
  <c r="H26" i="4"/>
  <c r="D22" i="4"/>
  <c r="D21" i="4"/>
  <c r="D20" i="4"/>
  <c r="E11" i="4"/>
  <c r="H9" i="4"/>
  <c r="D9" i="4"/>
  <c r="C7" i="4"/>
  <c r="I5" i="4"/>
  <c r="B5" i="4"/>
  <c r="G3" i="4"/>
  <c r="B3" i="4"/>
  <c r="H33" i="6"/>
  <c r="H33" i="5"/>
  <c r="H33" i="4"/>
  <c r="C35" i="3"/>
  <c r="C33" i="3"/>
  <c r="H33" i="3"/>
  <c r="H30" i="3"/>
  <c r="H28" i="3"/>
  <c r="H26" i="3"/>
  <c r="D22" i="3"/>
  <c r="D21" i="3"/>
  <c r="D20" i="3"/>
  <c r="E11" i="3"/>
  <c r="H9" i="3"/>
  <c r="D9" i="3"/>
  <c r="C7" i="3"/>
  <c r="I5" i="3"/>
  <c r="B5" i="3"/>
  <c r="G3" i="3"/>
  <c r="B3" i="3"/>
  <c r="E68" i="2"/>
  <c r="D68" i="2"/>
  <c r="C68" i="2"/>
  <c r="B68" i="2"/>
  <c r="E67" i="2"/>
  <c r="D67" i="2"/>
  <c r="C67" i="2"/>
  <c r="B67" i="2"/>
  <c r="E66" i="2"/>
  <c r="D66" i="2"/>
  <c r="C66" i="2"/>
  <c r="B66" i="2"/>
  <c r="E51" i="2"/>
  <c r="D51" i="2"/>
  <c r="C51" i="2"/>
  <c r="B51" i="2"/>
  <c r="E50" i="2"/>
  <c r="D50" i="2"/>
  <c r="C50" i="2"/>
  <c r="B50" i="2"/>
  <c r="E49" i="2"/>
  <c r="D49" i="2"/>
  <c r="C49" i="2"/>
  <c r="B49" i="2"/>
  <c r="E25" i="2"/>
  <c r="D25" i="2"/>
  <c r="C25" i="2"/>
  <c r="E23" i="2"/>
  <c r="D23" i="2"/>
  <c r="C23" i="2"/>
  <c r="E22" i="2"/>
  <c r="D22" i="2"/>
  <c r="C22" i="2"/>
  <c r="C26" i="2" l="1"/>
  <c r="E26" i="2"/>
  <c r="D26" i="2"/>
  <c r="B22" i="2"/>
  <c r="B25" i="2"/>
  <c r="B23" i="2"/>
  <c r="B26" i="2" s="1"/>
  <c r="E10" i="2"/>
  <c r="D10" i="2"/>
  <c r="C10" i="2"/>
  <c r="B10" i="2"/>
  <c r="E9" i="2"/>
  <c r="D9" i="2"/>
  <c r="C9" i="2"/>
  <c r="B9" i="2"/>
  <c r="E8" i="2"/>
  <c r="D8" i="2"/>
  <c r="C8" i="2"/>
  <c r="B8" i="2"/>
  <c r="E7" i="2"/>
  <c r="E11" i="2" s="1"/>
  <c r="D7" i="2"/>
  <c r="C7" i="2"/>
  <c r="C11" i="2" s="1"/>
  <c r="H13" i="4" s="1"/>
  <c r="B7" i="2"/>
  <c r="E6" i="2"/>
  <c r="E24" i="2" s="1"/>
  <c r="D6" i="2"/>
  <c r="D24" i="2" s="1"/>
  <c r="C6" i="2"/>
  <c r="C24" i="2" s="1"/>
  <c r="B6" i="2"/>
  <c r="B24" i="2" s="1"/>
  <c r="E5" i="2"/>
  <c r="D5" i="2"/>
  <c r="C5" i="2"/>
  <c r="B5" i="2"/>
  <c r="C15" i="2" l="1"/>
  <c r="C37" i="2" s="1"/>
  <c r="E15" i="2"/>
  <c r="H13" i="6"/>
  <c r="E37" i="2"/>
  <c r="D11" i="2"/>
  <c r="C43" i="2"/>
  <c r="C52" i="2" s="1"/>
  <c r="E52" i="2"/>
  <c r="E43" i="2"/>
  <c r="E31" i="2"/>
  <c r="C31" i="2"/>
  <c r="E57" i="2"/>
  <c r="C56" i="2"/>
  <c r="C65" i="2"/>
  <c r="E56" i="2"/>
  <c r="E65" i="2"/>
  <c r="B42" i="2"/>
  <c r="B65" i="2"/>
  <c r="B56" i="2"/>
  <c r="D42" i="2"/>
  <c r="D65" i="2"/>
  <c r="D56" i="2"/>
  <c r="C14" i="2"/>
  <c r="C21" i="2" s="1"/>
  <c r="C42" i="2"/>
  <c r="E14" i="2"/>
  <c r="E21" i="2" s="1"/>
  <c r="E42" i="2"/>
  <c r="B48" i="2"/>
  <c r="B30" i="2"/>
  <c r="B36" i="2"/>
  <c r="D48" i="2"/>
  <c r="D30" i="2"/>
  <c r="D36" i="2"/>
  <c r="C36" i="2"/>
  <c r="C48" i="2"/>
  <c r="C30" i="2"/>
  <c r="E36" i="2"/>
  <c r="E48" i="2"/>
  <c r="E30" i="2"/>
  <c r="B14" i="2"/>
  <c r="B21" i="2" s="1"/>
  <c r="D14" i="2"/>
  <c r="D21" i="2" s="1"/>
  <c r="B11" i="2"/>
  <c r="B15" i="2" s="1"/>
  <c r="D15" i="2" l="1"/>
  <c r="D37" i="2" s="1"/>
  <c r="D43" i="2" s="1"/>
  <c r="D52" i="2" s="1"/>
  <c r="D57" i="2" s="1"/>
  <c r="D31" i="2"/>
  <c r="H13" i="5"/>
  <c r="C57" i="2"/>
  <c r="E71" i="2"/>
  <c r="G21" i="6" s="1"/>
  <c r="E72" i="2"/>
  <c r="G22" i="6" s="1"/>
  <c r="E70" i="2"/>
  <c r="G20" i="6" s="1"/>
  <c r="E69" i="2"/>
  <c r="D70" i="2"/>
  <c r="G20" i="5" s="1"/>
  <c r="D71" i="2"/>
  <c r="G21" i="5" s="1"/>
  <c r="D72" i="2"/>
  <c r="G22" i="5" s="1"/>
  <c r="D69" i="2"/>
  <c r="G15" i="5" s="1"/>
  <c r="C72" i="2"/>
  <c r="C69" i="2"/>
  <c r="G15" i="4" s="1"/>
  <c r="C71" i="2"/>
  <c r="C70" i="2"/>
  <c r="B37" i="2"/>
  <c r="H13" i="3"/>
  <c r="B31" i="2"/>
  <c r="B43" i="2" l="1"/>
  <c r="B52" i="2" s="1"/>
  <c r="B57" i="2" s="1"/>
  <c r="B69" i="2" s="1"/>
  <c r="G15" i="3" s="1"/>
  <c r="G15" i="6"/>
  <c r="G21" i="4"/>
  <c r="G22" i="4"/>
  <c r="G20" i="4"/>
  <c r="B71" i="2" l="1"/>
  <c r="G21" i="3" s="1"/>
  <c r="B70" i="2"/>
  <c r="G20" i="3" s="1"/>
  <c r="B72" i="2"/>
  <c r="G22" i="3" s="1"/>
</calcChain>
</file>

<file path=xl/sharedStrings.xml><?xml version="1.0" encoding="utf-8"?>
<sst xmlns="http://schemas.openxmlformats.org/spreadsheetml/2006/main" count="195" uniqueCount="92">
  <si>
    <t>Medium</t>
  </si>
  <si>
    <t>Lokalizacja (aparat / rurociąg / itp.)</t>
  </si>
  <si>
    <t>Temperatura robocza [C]</t>
  </si>
  <si>
    <t>Nadciśnienie robocze [kPa(G)]</t>
  </si>
  <si>
    <t>Gęstość cieczy [kg/m3]</t>
  </si>
  <si>
    <t>Średnica wypływu [mm]</t>
  </si>
  <si>
    <t>Maksymalna wysokość cieczy nad punktem wypływu [m]</t>
  </si>
  <si>
    <t>Przyjęty czas wypływu [min]</t>
  </si>
  <si>
    <t>Masa cząsteczkowa</t>
  </si>
  <si>
    <t>Temperatura charakterystyczna jeziorka [C]</t>
  </si>
  <si>
    <t>Prężność par cieczy w temperaturze jeziorka [kPa]</t>
  </si>
  <si>
    <t>Średnia pojemność cieplna cieczy [J/kg·C]</t>
  </si>
  <si>
    <t>Ciepło parowania cieczy [J/kg]</t>
  </si>
  <si>
    <t>Temperatura wrzenia cieczy [C]</t>
  </si>
  <si>
    <t>Powierzchnia tacy [m2]</t>
  </si>
  <si>
    <t>PAC-1 [mg/m3]</t>
  </si>
  <si>
    <t>PAC-3 [mg/m3]</t>
  </si>
  <si>
    <t>PAC-2 [mg/m3]</t>
  </si>
  <si>
    <t>Rodzaj medium</t>
  </si>
  <si>
    <t>D = średnica wypływu [mm]</t>
  </si>
  <si>
    <t>Δh = maksymalna wysokość cieczy nad punktem wypływu [m]</t>
  </si>
  <si>
    <t>temperatura robocza [C]</t>
  </si>
  <si>
    <t>Całkowita ilość cieczy wypływająca do otoczenia:</t>
  </si>
  <si>
    <t>Natężenie wypływu medium:</t>
  </si>
  <si>
    <r>
      <t>P</t>
    </r>
    <r>
      <rPr>
        <sz val="8"/>
        <color theme="1"/>
        <rFont val="Czcionka tekstu podstawowego"/>
        <charset val="238"/>
      </rPr>
      <t>g</t>
    </r>
    <r>
      <rPr>
        <sz val="9"/>
        <color theme="1"/>
        <rFont val="Czcionka tekstu podstawowego"/>
        <family val="2"/>
        <charset val="238"/>
      </rPr>
      <t xml:space="preserve"> = nadciśnienie w zbiorniku [kPa(G)]</t>
    </r>
  </si>
  <si>
    <r>
      <t>ρ</t>
    </r>
    <r>
      <rPr>
        <sz val="8"/>
        <color theme="1"/>
        <rFont val="Czcionka tekstu podstawowego"/>
        <charset val="238"/>
      </rPr>
      <t>1</t>
    </r>
    <r>
      <rPr>
        <sz val="9"/>
        <color theme="1"/>
        <rFont val="Czcionka tekstu podstawowego"/>
        <family val="2"/>
        <charset val="238"/>
      </rPr>
      <t xml:space="preserve"> = gęstość cieczy [kg/m</t>
    </r>
    <r>
      <rPr>
        <vertAlign val="superscript"/>
        <sz val="9"/>
        <color theme="1"/>
        <rFont val="Czcionka tekstu podstawowego"/>
        <family val="2"/>
        <charset val="238"/>
      </rPr>
      <t>3</t>
    </r>
    <r>
      <rPr>
        <sz val="9"/>
        <color theme="1"/>
        <rFont val="Czcionka tekstu podstawowego"/>
        <family val="2"/>
        <charset val="238"/>
      </rPr>
      <t>]</t>
    </r>
  </si>
  <si>
    <r>
      <t>W</t>
    </r>
    <r>
      <rPr>
        <sz val="8"/>
        <color theme="1"/>
        <rFont val="Czcionka tekstu podstawowego"/>
        <charset val="238"/>
      </rPr>
      <t>t</t>
    </r>
    <r>
      <rPr>
        <sz val="9"/>
        <color theme="1"/>
        <rFont val="Czcionka tekstu podstawowego"/>
        <family val="2"/>
        <charset val="238"/>
      </rPr>
      <t xml:space="preserve"> = całkowita ilość cieczy [kg]</t>
    </r>
  </si>
  <si>
    <t>Udział cieczy odparowanej przez rozprężenie:</t>
  </si>
  <si>
    <r>
      <t>H</t>
    </r>
    <r>
      <rPr>
        <sz val="8"/>
        <color theme="1"/>
        <rFont val="Czcionka tekstu podstawowego"/>
        <charset val="238"/>
      </rPr>
      <t>v</t>
    </r>
    <r>
      <rPr>
        <sz val="10"/>
        <color theme="1"/>
        <rFont val="Czcionka tekstu podstawowego"/>
        <family val="2"/>
        <charset val="238"/>
      </rPr>
      <t xml:space="preserve"> = ciepło parowania cieczy [J/kg]</t>
    </r>
  </si>
  <si>
    <r>
      <t>T</t>
    </r>
    <r>
      <rPr>
        <sz val="8"/>
        <color theme="1"/>
        <rFont val="Czcionka tekstu podstawowego"/>
        <charset val="238"/>
      </rPr>
      <t>s</t>
    </r>
    <r>
      <rPr>
        <sz val="10"/>
        <color theme="1"/>
        <rFont val="Czcionka tekstu podstawowego"/>
        <family val="2"/>
        <charset val="238"/>
      </rPr>
      <t xml:space="preserve"> = temperatura robocza cieczy [C]</t>
    </r>
  </si>
  <si>
    <r>
      <t>T</t>
    </r>
    <r>
      <rPr>
        <sz val="8"/>
        <color theme="1"/>
        <rFont val="Czcionka tekstu podstawowego"/>
        <charset val="238"/>
      </rPr>
      <t>b</t>
    </r>
    <r>
      <rPr>
        <sz val="10"/>
        <color theme="1"/>
        <rFont val="Czcionka tekstu podstawowego"/>
        <family val="2"/>
        <charset val="238"/>
      </rPr>
      <t xml:space="preserve"> = temperatura wrzenia cieczy [C]</t>
    </r>
  </si>
  <si>
    <r>
      <t>F</t>
    </r>
    <r>
      <rPr>
        <sz val="8"/>
        <color theme="1"/>
        <rFont val="Czcionka tekstu podstawowego"/>
        <charset val="238"/>
      </rPr>
      <t>v</t>
    </r>
    <r>
      <rPr>
        <sz val="10"/>
        <color theme="1"/>
        <rFont val="Czcionka tekstu podstawowego"/>
        <family val="2"/>
        <charset val="238"/>
      </rPr>
      <t xml:space="preserve"> = udział odparowej cieczy</t>
    </r>
  </si>
  <si>
    <t>Ilość materiału w powietrzu na skutek odparowania przez rozprężanie (*):</t>
  </si>
  <si>
    <t>Całkowita ilość cieczy dostająca się do jeziorka:</t>
  </si>
  <si>
    <t>Wp [kg]</t>
  </si>
  <si>
    <t>AQf [kg/s]</t>
  </si>
  <si>
    <t>Ilość cieczy odparowanej z jeziorka:</t>
  </si>
  <si>
    <r>
      <t>(*) dla F</t>
    </r>
    <r>
      <rPr>
        <sz val="8"/>
        <color theme="1"/>
        <rFont val="Czcionka tekstu podstawowego"/>
        <charset val="238"/>
      </rPr>
      <t>v</t>
    </r>
    <r>
      <rPr>
        <sz val="10"/>
        <color theme="1"/>
        <rFont val="Czcionka tekstu podstawowego"/>
        <family val="2"/>
        <charset val="238"/>
      </rPr>
      <t xml:space="preserve"> ≥0,2 AQ</t>
    </r>
    <r>
      <rPr>
        <sz val="8"/>
        <color theme="1"/>
        <rFont val="Czcionka tekstu podstawowego"/>
        <charset val="238"/>
      </rPr>
      <t>f</t>
    </r>
    <r>
      <rPr>
        <sz val="10"/>
        <color theme="1"/>
        <rFont val="Czcionka tekstu podstawowego"/>
        <family val="2"/>
        <charset val="238"/>
      </rPr>
      <t xml:space="preserve"> = L </t>
    </r>
    <r>
      <rPr>
        <sz val="10"/>
        <color theme="1"/>
        <rFont val="Czcionka tekstu podstawowego"/>
        <charset val="238"/>
      </rPr>
      <t>→</t>
    </r>
    <r>
      <rPr>
        <sz val="10"/>
        <color theme="1"/>
        <rFont val="Czcionka tekstu podstawowego"/>
        <family val="2"/>
        <charset val="238"/>
      </rPr>
      <t xml:space="preserve"> jeziorko się nie tworzy</t>
    </r>
  </si>
  <si>
    <t>Powierzchnia jeziorka:</t>
  </si>
  <si>
    <r>
      <t>A</t>
    </r>
    <r>
      <rPr>
        <sz val="8"/>
        <color theme="1"/>
        <rFont val="Czcionka tekstu podstawowego"/>
        <charset val="238"/>
      </rPr>
      <t>p</t>
    </r>
    <r>
      <rPr>
        <sz val="10"/>
        <color theme="1"/>
        <rFont val="Czcionka tekstu podstawowego"/>
        <family val="2"/>
        <charset val="238"/>
      </rPr>
      <t xml:space="preserve"> [m</t>
    </r>
    <r>
      <rPr>
        <vertAlign val="superscript"/>
        <sz val="10"/>
        <color theme="1"/>
        <rFont val="Czcionka tekstu podstawowego"/>
        <charset val="238"/>
      </rPr>
      <t>2</t>
    </r>
    <r>
      <rPr>
        <sz val="10"/>
        <color theme="1"/>
        <rFont val="Czcionka tekstu podstawowego"/>
        <family val="2"/>
        <charset val="238"/>
      </rPr>
      <t>]</t>
    </r>
  </si>
  <si>
    <t>MW = masa cząsteczkowa</t>
  </si>
  <si>
    <r>
      <t>P</t>
    </r>
    <r>
      <rPr>
        <sz val="8"/>
        <color theme="1"/>
        <rFont val="Czcionka tekstu podstawowego"/>
        <charset val="238"/>
      </rPr>
      <t>r</t>
    </r>
    <r>
      <rPr>
        <sz val="10"/>
        <color theme="1"/>
        <rFont val="Czcionka tekstu podstawowego"/>
        <family val="2"/>
        <charset val="238"/>
      </rPr>
      <t xml:space="preserve"> = prężność par cieczy [kPa]</t>
    </r>
  </si>
  <si>
    <r>
      <t>AQ</t>
    </r>
    <r>
      <rPr>
        <sz val="8"/>
        <color theme="1"/>
        <rFont val="Czcionka tekstu podstawowego"/>
        <charset val="238"/>
      </rPr>
      <t>p</t>
    </r>
    <r>
      <rPr>
        <sz val="10"/>
        <color theme="1"/>
        <rFont val="Czcionka tekstu podstawowego"/>
        <family val="2"/>
        <charset val="238"/>
      </rPr>
      <t xml:space="preserve"> [kg/s]</t>
    </r>
  </si>
  <si>
    <t>Całkowita ilość materiału odparowanego do atmosfery:</t>
  </si>
  <si>
    <t>AQ [kg/s]</t>
  </si>
  <si>
    <t>Wskaźnik CEI:</t>
  </si>
  <si>
    <t>Wielkości stref zagrożonych:</t>
  </si>
  <si>
    <t>PAC-1</t>
  </si>
  <si>
    <t>PAC-2</t>
  </si>
  <si>
    <t>PAC-3</t>
  </si>
  <si>
    <t>CEI</t>
  </si>
  <si>
    <t>HD-1 [m]</t>
  </si>
  <si>
    <t>HD-2 [m]</t>
  </si>
  <si>
    <t>HD-3 [m]</t>
  </si>
  <si>
    <t>Wskaźnik Narażenia Chemicznego (DOW CEI) - zestawienie</t>
  </si>
  <si>
    <t>Instalacja</t>
  </si>
  <si>
    <t>Lokalizacja</t>
  </si>
  <si>
    <t>Związek</t>
  </si>
  <si>
    <t>Największy aparat</t>
  </si>
  <si>
    <t>kPa</t>
  </si>
  <si>
    <t>1. Rozpatrywany scenariusz wypływu</t>
  </si>
  <si>
    <t xml:space="preserve">2. Natężenie wypływu </t>
  </si>
  <si>
    <t>kg/sek</t>
  </si>
  <si>
    <t>3. Wskaźnik Narażenia Chemicznego (DOW CEI)</t>
  </si>
  <si>
    <t>Stężenie</t>
  </si>
  <si>
    <t>Zagrożona odległość</t>
  </si>
  <si>
    <r>
      <t>mg/m</t>
    </r>
    <r>
      <rPr>
        <vertAlign val="superscript"/>
        <sz val="10"/>
        <color rgb="FF000000"/>
        <rFont val="Arial"/>
        <family val="2"/>
        <charset val="238"/>
      </rPr>
      <t>3</t>
    </r>
  </si>
  <si>
    <t>ppm</t>
  </si>
  <si>
    <t>HD, m.</t>
  </si>
  <si>
    <t>5. Odległości do:</t>
  </si>
  <si>
    <t>metrów</t>
  </si>
  <si>
    <t>dróg publicznych (granicy nieruchomości)</t>
  </si>
  <si>
    <t>innych instalacji zakładowych</t>
  </si>
  <si>
    <t>instalacji lub przedsiębiorstw nie należących do firmy</t>
  </si>
  <si>
    <t>Data</t>
  </si>
  <si>
    <t>Sporządził:</t>
  </si>
  <si>
    <t>Sprawdził:</t>
  </si>
  <si>
    <t>Instalacja:</t>
  </si>
  <si>
    <t>Rozpatrywany scenariusz wypływu:</t>
  </si>
  <si>
    <t>Lokalizacja:</t>
  </si>
  <si>
    <t>Całkowita ilość w instalacji [t]:</t>
  </si>
  <si>
    <t>Największy aparat:</t>
  </si>
  <si>
    <t>Odległość od dróg publicznych [m]:</t>
  </si>
  <si>
    <t>Odległośc od innych instalacji przemysłowych [m]:</t>
  </si>
  <si>
    <t>Odległość od instalacji / przedsiębiorstw trzecich [m]:</t>
  </si>
  <si>
    <t>Nadciśnienie w aparacie / zbiorniku</t>
  </si>
  <si>
    <t>Temperatura [°C]</t>
  </si>
  <si>
    <t>4.</t>
  </si>
  <si>
    <t>Całkowita ilość w zbiorniku [t]:</t>
  </si>
  <si>
    <t>L = natężenie wypływu [kg/s]</t>
  </si>
  <si>
    <r>
      <t>C</t>
    </r>
    <r>
      <rPr>
        <sz val="8"/>
        <color theme="1"/>
        <rFont val="Czcionka tekstu podstawowego"/>
        <charset val="238"/>
      </rPr>
      <t>p</t>
    </r>
    <r>
      <rPr>
        <sz val="10"/>
        <color theme="1"/>
        <rFont val="Czcionka tekstu podstawowego"/>
        <family val="2"/>
        <charset val="238"/>
      </rPr>
      <t xml:space="preserve"> = średni pojemność cieplna cieczy [J/kg·C]</t>
    </r>
  </si>
  <si>
    <t>T = temperatura charakterystyczna jeziorka 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</si>
</sst>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Czcionka tekstu podstawowego"/>
      <family val="2"/>
      <charset val="238"/>
    </font>
    <font>
      <sz val="10"/>
      <color theme="1"/>
      <name val="Czcionka tekstu podstawowego"/>
      <charset val="238"/>
    </font>
    <font>
      <sz val="8"/>
      <color theme="1"/>
      <name val="Czcionka tekstu podstawowego"/>
      <charset val="238"/>
    </font>
    <font>
      <sz val="9"/>
      <color theme="1"/>
      <name val="Czcionka tekstu podstawowego"/>
      <family val="2"/>
      <charset val="238"/>
    </font>
    <font>
      <vertAlign val="superscript"/>
      <sz val="9"/>
      <color theme="1"/>
      <name val="Czcionka tekstu podstawowego"/>
      <family val="2"/>
      <charset val="238"/>
    </font>
    <font>
      <sz val="10"/>
      <color theme="1"/>
      <name val="Czcionka tekstu podstawowego"/>
      <family val="2"/>
      <charset val="238"/>
    </font>
    <font>
      <vertAlign val="superscript"/>
      <sz val="10"/>
      <color theme="1"/>
      <name val="Czcionka tekstu podstawowego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0"/>
      <color rgb="FF000000"/>
      <name val="Arial"/>
      <family val="2"/>
      <charset val="238"/>
    </font>
    <font>
      <b/>
      <sz val="10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vertAlign val="superscript"/>
      <sz val="10"/>
      <color rgb="FF000000"/>
      <name val="Arial"/>
      <family val="2"/>
      <charset val="238"/>
    </font>
    <font>
      <sz val="8"/>
      <name val="Tahoma"/>
      <family val="2"/>
      <charset val="238"/>
    </font>
    <font>
      <sz val="6"/>
      <color theme="8" tint="0.59999389629810485"/>
      <name val="Czcionka tekstu podstawowego"/>
      <family val="2"/>
      <charset val="238"/>
    </font>
    <font>
      <sz val="10"/>
      <color theme="8" tint="0.59999389629810485"/>
      <name val="Czcionka tekstu podstawowego"/>
      <family val="2"/>
      <charset val="238"/>
    </font>
    <font>
      <sz val="11"/>
      <color rgb="FF000000"/>
      <name val="Czcionka tekstu podstawowego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0" fillId="4" borderId="1" xfId="0" applyFill="1" applyBorder="1"/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4" xfId="0" applyFont="1" applyBorder="1"/>
    <xf numFmtId="0" fontId="3" fillId="0" borderId="7" xfId="0" applyFont="1" applyBorder="1" applyAlignment="1">
      <alignment vertical="center" wrapText="1"/>
    </xf>
    <xf numFmtId="0" fontId="3" fillId="4" borderId="1" xfId="0" applyFont="1" applyFill="1" applyBorder="1"/>
    <xf numFmtId="0" fontId="5" fillId="0" borderId="0" xfId="0" applyFont="1"/>
    <xf numFmtId="0" fontId="5" fillId="0" borderId="3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5" fillId="4" borderId="1" xfId="0" applyFont="1" applyFill="1" applyBorder="1"/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Fill="1" applyBorder="1" applyAlignment="1">
      <alignment vertical="center" wrapText="1"/>
    </xf>
    <xf numFmtId="0" fontId="5" fillId="0" borderId="5" xfId="0" applyFont="1" applyFill="1" applyBorder="1"/>
    <xf numFmtId="0" fontId="5" fillId="0" borderId="4" xfId="0" applyFont="1" applyBorder="1"/>
    <xf numFmtId="0" fontId="5" fillId="0" borderId="7" xfId="0" applyFont="1" applyBorder="1"/>
    <xf numFmtId="0" fontId="10" fillId="0" borderId="11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2" xfId="0" applyFont="1" applyBorder="1" applyAlignment="1">
      <alignment horizontal="center" vertical="top" wrapText="1"/>
    </xf>
    <xf numFmtId="0" fontId="10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10" fillId="0" borderId="13" xfId="0" applyFont="1" applyBorder="1" applyAlignment="1">
      <alignment horizontal="center" vertical="top" wrapText="1"/>
    </xf>
    <xf numFmtId="0" fontId="10" fillId="0" borderId="14" xfId="0" applyFont="1" applyBorder="1" applyAlignment="1">
      <alignment horizontal="center" vertical="top" wrapText="1"/>
    </xf>
    <xf numFmtId="0" fontId="10" fillId="0" borderId="15" xfId="0" applyFont="1" applyBorder="1" applyAlignment="1">
      <alignment horizontal="center" vertical="top" wrapText="1"/>
    </xf>
    <xf numFmtId="0" fontId="5" fillId="2" borderId="0" xfId="0" applyFont="1" applyFill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shrinkToFit="1"/>
    </xf>
    <xf numFmtId="0" fontId="5" fillId="0" borderId="1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10" fillId="0" borderId="11" xfId="0" applyFont="1" applyBorder="1" applyAlignment="1">
      <alignment horizontal="left" vertical="top" wrapText="1"/>
    </xf>
    <xf numFmtId="0" fontId="0" fillId="2" borderId="16" xfId="0" applyFill="1" applyBorder="1"/>
    <xf numFmtId="0" fontId="0" fillId="2" borderId="16" xfId="0" applyFill="1" applyBorder="1" applyAlignment="1">
      <alignment shrinkToFit="1"/>
    </xf>
    <xf numFmtId="0" fontId="5" fillId="0" borderId="0" xfId="0" applyFont="1" applyFill="1" applyAlignment="1"/>
    <xf numFmtId="0" fontId="5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 shrinkToFit="1"/>
    </xf>
    <xf numFmtId="0" fontId="9" fillId="0" borderId="8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 wrapText="1"/>
    </xf>
    <xf numFmtId="0" fontId="10" fillId="0" borderId="12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 wrapText="1"/>
    </xf>
    <xf numFmtId="0" fontId="10" fillId="0" borderId="11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top" wrapText="1"/>
    </xf>
    <xf numFmtId="0" fontId="10" fillId="0" borderId="0" xfId="0" applyFont="1" applyAlignment="1">
      <alignment vertical="top" wrapText="1"/>
    </xf>
    <xf numFmtId="0" fontId="7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22" fontId="10" fillId="0" borderId="0" xfId="0" applyNumberFormat="1" applyFont="1" applyAlignment="1">
      <alignment horizontal="center" vertical="top" wrapText="1"/>
    </xf>
    <xf numFmtId="0" fontId="10" fillId="0" borderId="14" xfId="0" applyFont="1" applyBorder="1" applyAlignment="1">
      <alignment horizontal="center" vertical="top" wrapText="1"/>
    </xf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D$3" lockText="1" noThreeD="1"/>
</file>

<file path=xl/ctrlProps/ctrlProp2.xml><?xml version="1.0" encoding="utf-8"?>
<formControlPr xmlns="http://schemas.microsoft.com/office/spreadsheetml/2009/9/main" objectType="CheckBox" fmlaLink="$D$4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Włącz scenariusz nr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142875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Włącz scenariusz nr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Włącz scenariusz nr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38100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przepisz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38100</xdr:rowOff>
        </xdr:from>
        <xdr:to>
          <xdr:col>7</xdr:col>
          <xdr:colOff>0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przepisz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38100</xdr:rowOff>
        </xdr:from>
        <xdr:to>
          <xdr:col>9</xdr:col>
          <xdr:colOff>0</xdr:colOff>
          <xdr:row>5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przepisz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38100</xdr:rowOff>
        </xdr:from>
        <xdr:to>
          <xdr:col>1</xdr:col>
          <xdr:colOff>600075</xdr:colOff>
          <xdr:row>3</xdr:row>
          <xdr:rowOff>180975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1228725</xdr:colOff>
          <xdr:row>19</xdr:row>
          <xdr:rowOff>95250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171450</xdr:rowOff>
        </xdr:from>
        <xdr:to>
          <xdr:col>0</xdr:col>
          <xdr:colOff>1019175</xdr:colOff>
          <xdr:row>29</xdr:row>
          <xdr:rowOff>28575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1257300</xdr:colOff>
          <xdr:row>35</xdr:row>
          <xdr:rowOff>0</xdr:rowOff>
        </xdr:to>
        <xdr:sp macro="" textlink="">
          <xdr:nvSpPr>
            <xdr:cNvPr id="2054" name="Object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161925</xdr:rowOff>
        </xdr:from>
        <xdr:to>
          <xdr:col>0</xdr:col>
          <xdr:colOff>1914525</xdr:colOff>
          <xdr:row>47</xdr:row>
          <xdr:rowOff>0</xdr:rowOff>
        </xdr:to>
        <xdr:sp macro="" textlink="">
          <xdr:nvSpPr>
            <xdr:cNvPr id="2055" name="Object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171450</xdr:rowOff>
        </xdr:from>
        <xdr:to>
          <xdr:col>0</xdr:col>
          <xdr:colOff>904875</xdr:colOff>
          <xdr:row>41</xdr:row>
          <xdr:rowOff>0</xdr:rowOff>
        </xdr:to>
        <xdr:sp macro="" textlink="">
          <xdr:nvSpPr>
            <xdr:cNvPr id="2056" name="Object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161925</xdr:rowOff>
        </xdr:from>
        <xdr:to>
          <xdr:col>0</xdr:col>
          <xdr:colOff>1152525</xdr:colOff>
          <xdr:row>54</xdr:row>
          <xdr:rowOff>219075</xdr:rowOff>
        </xdr:to>
        <xdr:sp macro="" textlink="">
          <xdr:nvSpPr>
            <xdr:cNvPr id="2059" name="Object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133350</xdr:rowOff>
        </xdr:from>
        <xdr:to>
          <xdr:col>0</xdr:col>
          <xdr:colOff>1524000</xdr:colOff>
          <xdr:row>60</xdr:row>
          <xdr:rowOff>219075</xdr:rowOff>
        </xdr:to>
        <xdr:sp macro="" textlink="">
          <xdr:nvSpPr>
            <xdr:cNvPr id="2060" name="Object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152400</xdr:rowOff>
        </xdr:from>
        <xdr:to>
          <xdr:col>0</xdr:col>
          <xdr:colOff>1447800</xdr:colOff>
          <xdr:row>63</xdr:row>
          <xdr:rowOff>238125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oleObject" Target="../embeddings/oleObject6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2:I61"/>
  <sheetViews>
    <sheetView showGridLines="0" showRowColHeaders="0" tabSelected="1" workbookViewId="0">
      <selection activeCell="C7" sqref="C7"/>
    </sheetView>
  </sheetViews>
  <sheetFormatPr defaultRowHeight="14.25"/>
  <cols>
    <col min="1" max="1" width="1.625" style="1" customWidth="1"/>
    <col min="2" max="2" width="48" style="1" customWidth="1"/>
    <col min="3" max="3" width="16.625" style="37" customWidth="1"/>
    <col min="4" max="4" width="4.625" style="52" customWidth="1"/>
    <col min="5" max="5" width="16.625" style="37" hidden="1" customWidth="1"/>
    <col min="6" max="6" width="4.625" style="37" customWidth="1"/>
    <col min="7" max="7" width="16.625" style="37" hidden="1" customWidth="1"/>
    <col min="8" max="8" width="4.625" style="37" customWidth="1"/>
    <col min="9" max="9" width="16.625" style="37" hidden="1" customWidth="1"/>
    <col min="10" max="10" width="1.625" style="1" customWidth="1"/>
    <col min="11" max="16384" width="9" style="1"/>
  </cols>
  <sheetData>
    <row r="2" spans="2:9">
      <c r="D2" s="51" t="b">
        <v>0</v>
      </c>
    </row>
    <row r="3" spans="2:9">
      <c r="D3" s="51" t="b">
        <v>0</v>
      </c>
    </row>
    <row r="4" spans="2:9">
      <c r="D4" s="51" t="b">
        <v>0</v>
      </c>
    </row>
    <row r="6" spans="2:9" ht="15" thickBot="1"/>
    <row r="7" spans="2:9" ht="15" thickBot="1">
      <c r="B7" s="44" t="s">
        <v>77</v>
      </c>
      <c r="C7" s="38"/>
      <c r="E7" s="38"/>
      <c r="G7" s="38"/>
      <c r="I7" s="38"/>
    </row>
    <row r="8" spans="2:9" ht="3" customHeight="1" thickBot="1"/>
    <row r="9" spans="2:9" s="40" customFormat="1" ht="15" thickBot="1">
      <c r="B9" s="45" t="s">
        <v>79</v>
      </c>
      <c r="C9" s="41"/>
      <c r="D9" s="53"/>
      <c r="E9" s="41"/>
      <c r="F9" s="42"/>
      <c r="G9" s="41"/>
      <c r="H9" s="42"/>
      <c r="I9" s="41"/>
    </row>
    <row r="10" spans="2:9" ht="3" customHeight="1" thickBot="1"/>
    <row r="11" spans="2:9" ht="15" thickBot="1">
      <c r="B11" s="44" t="s">
        <v>88</v>
      </c>
      <c r="C11" s="38"/>
      <c r="E11" s="38"/>
      <c r="G11" s="38"/>
      <c r="I11" s="38"/>
    </row>
    <row r="12" spans="2:9" ht="3" customHeight="1" thickBot="1"/>
    <row r="13" spans="2:9" s="40" customFormat="1" ht="15" thickBot="1">
      <c r="B13" s="45" t="s">
        <v>81</v>
      </c>
      <c r="C13" s="41"/>
      <c r="D13" s="53"/>
      <c r="E13" s="41"/>
      <c r="F13" s="42"/>
      <c r="G13" s="41"/>
      <c r="H13" s="42"/>
      <c r="I13" s="41"/>
    </row>
    <row r="14" spans="2:9" ht="3" customHeight="1" thickBot="1"/>
    <row r="15" spans="2:9" ht="15" thickBot="1">
      <c r="B15" s="44" t="s">
        <v>78</v>
      </c>
      <c r="C15" s="38"/>
      <c r="E15" s="38"/>
      <c r="G15" s="38"/>
      <c r="I15" s="38"/>
    </row>
    <row r="16" spans="2:9" ht="3" customHeight="1" thickBot="1"/>
    <row r="17" spans="2:9" ht="15" thickBot="1">
      <c r="B17" s="44" t="s">
        <v>82</v>
      </c>
      <c r="C17" s="38"/>
      <c r="E17" s="38"/>
      <c r="G17" s="38"/>
      <c r="I17" s="38"/>
    </row>
    <row r="18" spans="2:9" ht="3" customHeight="1" thickBot="1"/>
    <row r="19" spans="2:9" ht="15" thickBot="1">
      <c r="B19" s="44" t="s">
        <v>83</v>
      </c>
      <c r="C19" s="38"/>
      <c r="E19" s="38"/>
      <c r="G19" s="38"/>
      <c r="I19" s="38"/>
    </row>
    <row r="20" spans="2:9" ht="3" customHeight="1" thickBot="1"/>
    <row r="21" spans="2:9" ht="15" thickBot="1">
      <c r="B21" s="44" t="s">
        <v>84</v>
      </c>
      <c r="C21" s="38"/>
      <c r="E21" s="38"/>
      <c r="G21" s="38"/>
      <c r="I21" s="38"/>
    </row>
    <row r="22" spans="2:9" ht="3" customHeight="1" thickBot="1"/>
    <row r="23" spans="2:9" ht="15" thickBot="1">
      <c r="B23" s="44" t="s">
        <v>75</v>
      </c>
      <c r="C23" s="38"/>
      <c r="E23" s="38"/>
      <c r="G23" s="38"/>
      <c r="I23" s="38"/>
    </row>
    <row r="24" spans="2:9" ht="3" customHeight="1" thickBot="1"/>
    <row r="25" spans="2:9" ht="15" thickBot="1">
      <c r="B25" s="44" t="s">
        <v>76</v>
      </c>
      <c r="C25" s="38"/>
      <c r="E25" s="38"/>
      <c r="G25" s="38"/>
      <c r="I25" s="38"/>
    </row>
    <row r="26" spans="2:9" ht="15" thickBot="1"/>
    <row r="27" spans="2:9" ht="15" thickBot="1">
      <c r="B27" s="44" t="s">
        <v>0</v>
      </c>
      <c r="C27" s="38"/>
      <c r="E27" s="38"/>
      <c r="G27" s="38"/>
      <c r="I27" s="38"/>
    </row>
    <row r="28" spans="2:9" ht="3" customHeight="1" thickBot="1"/>
    <row r="29" spans="2:9" ht="15" thickBot="1">
      <c r="B29" s="44" t="s">
        <v>1</v>
      </c>
      <c r="C29" s="38"/>
      <c r="E29" s="38"/>
      <c r="G29" s="38"/>
      <c r="I29" s="38"/>
    </row>
    <row r="30" spans="2:9" ht="3" customHeight="1" thickBot="1"/>
    <row r="31" spans="2:9" ht="15" thickBot="1">
      <c r="B31" s="44" t="s">
        <v>15</v>
      </c>
      <c r="C31" s="38"/>
      <c r="E31" s="38"/>
      <c r="G31" s="38"/>
      <c r="I31" s="38"/>
    </row>
    <row r="32" spans="2:9" ht="3" customHeight="1" thickBot="1"/>
    <row r="33" spans="2:9" ht="15" thickBot="1">
      <c r="B33" s="44" t="s">
        <v>17</v>
      </c>
      <c r="C33" s="38"/>
      <c r="E33" s="38"/>
      <c r="G33" s="38"/>
      <c r="I33" s="38"/>
    </row>
    <row r="34" spans="2:9" ht="3" customHeight="1" thickBot="1"/>
    <row r="35" spans="2:9" ht="15" thickBot="1">
      <c r="B35" s="44" t="s">
        <v>16</v>
      </c>
      <c r="C35" s="38"/>
      <c r="E35" s="38"/>
      <c r="G35" s="38"/>
      <c r="I35" s="38"/>
    </row>
    <row r="36" spans="2:9" ht="3" customHeight="1" thickBot="1"/>
    <row r="37" spans="2:9" ht="15" thickBot="1">
      <c r="B37" s="44" t="s">
        <v>2</v>
      </c>
      <c r="C37" s="38"/>
      <c r="E37" s="38"/>
      <c r="G37" s="38"/>
      <c r="I37" s="38"/>
    </row>
    <row r="38" spans="2:9" ht="3" customHeight="1" thickBot="1"/>
    <row r="39" spans="2:9" ht="15" thickBot="1">
      <c r="B39" s="44" t="s">
        <v>3</v>
      </c>
      <c r="C39" s="38"/>
      <c r="E39" s="38"/>
      <c r="G39" s="38"/>
      <c r="I39" s="38"/>
    </row>
    <row r="40" spans="2:9" ht="3" customHeight="1" thickBot="1"/>
    <row r="41" spans="2:9" ht="15" thickBot="1">
      <c r="B41" s="44" t="s">
        <v>4</v>
      </c>
      <c r="C41" s="38"/>
      <c r="E41" s="38"/>
      <c r="G41" s="38"/>
      <c r="I41" s="38"/>
    </row>
    <row r="42" spans="2:9" ht="3" customHeight="1" thickBot="1"/>
    <row r="43" spans="2:9" ht="15" thickBot="1">
      <c r="B43" s="44" t="s">
        <v>5</v>
      </c>
      <c r="C43" s="38"/>
      <c r="E43" s="38"/>
      <c r="G43" s="38"/>
      <c r="I43" s="38"/>
    </row>
    <row r="44" spans="2:9" ht="3" customHeight="1" thickBot="1"/>
    <row r="45" spans="2:9" ht="15" thickBot="1">
      <c r="B45" s="44" t="s">
        <v>6</v>
      </c>
      <c r="C45" s="38"/>
      <c r="E45" s="38"/>
      <c r="G45" s="38"/>
      <c r="I45" s="38"/>
    </row>
    <row r="46" spans="2:9" ht="3" customHeight="1" thickBot="1"/>
    <row r="47" spans="2:9" ht="15" thickBot="1">
      <c r="B47" s="44" t="s">
        <v>7</v>
      </c>
      <c r="C47" s="38"/>
      <c r="E47" s="38"/>
      <c r="G47" s="38"/>
      <c r="I47" s="38"/>
    </row>
    <row r="48" spans="2:9" ht="3" customHeight="1" thickBot="1"/>
    <row r="49" spans="2:9" ht="15" thickBot="1">
      <c r="B49" s="44" t="s">
        <v>8</v>
      </c>
      <c r="C49" s="38"/>
      <c r="E49" s="38"/>
      <c r="G49" s="38"/>
      <c r="I49" s="38"/>
    </row>
    <row r="50" spans="2:9" ht="3" customHeight="1" thickBot="1"/>
    <row r="51" spans="2:9" ht="15" thickBot="1">
      <c r="B51" s="44" t="s">
        <v>9</v>
      </c>
      <c r="C51" s="38"/>
      <c r="E51" s="38"/>
      <c r="G51" s="38"/>
      <c r="I51" s="38"/>
    </row>
    <row r="52" spans="2:9" ht="3" customHeight="1" thickBot="1"/>
    <row r="53" spans="2:9" ht="15" thickBot="1">
      <c r="B53" s="44" t="s">
        <v>10</v>
      </c>
      <c r="C53" s="38"/>
      <c r="E53" s="38"/>
      <c r="G53" s="38"/>
      <c r="I53" s="38"/>
    </row>
    <row r="54" spans="2:9" ht="3" customHeight="1" thickBot="1">
      <c r="G54" s="39"/>
    </row>
    <row r="55" spans="2:9" ht="15" thickBot="1">
      <c r="B55" s="44" t="s">
        <v>14</v>
      </c>
      <c r="C55" s="38"/>
      <c r="E55" s="38"/>
      <c r="G55" s="38"/>
      <c r="I55" s="38"/>
    </row>
    <row r="56" spans="2:9" ht="3" customHeight="1" thickBot="1">
      <c r="G56" s="39"/>
    </row>
    <row r="57" spans="2:9" ht="15" thickBot="1">
      <c r="B57" s="44" t="s">
        <v>11</v>
      </c>
      <c r="C57" s="38"/>
      <c r="E57" s="38"/>
      <c r="G57" s="38"/>
      <c r="I57" s="38"/>
    </row>
    <row r="58" spans="2:9" ht="3" customHeight="1" thickBot="1"/>
    <row r="59" spans="2:9" ht="15" thickBot="1">
      <c r="B59" s="44" t="s">
        <v>12</v>
      </c>
      <c r="C59" s="38"/>
      <c r="E59" s="38"/>
      <c r="G59" s="38"/>
      <c r="I59" s="38"/>
    </row>
    <row r="60" spans="2:9" ht="3" customHeight="1" thickBot="1"/>
    <row r="61" spans="2:9" ht="15" thickBot="1">
      <c r="B61" s="44" t="s">
        <v>13</v>
      </c>
      <c r="C61" s="38"/>
      <c r="E61" s="38"/>
      <c r="G61" s="38"/>
      <c r="I61" s="38"/>
    </row>
  </sheetData>
  <pageMargins left="0.24" right="0.2" top="0.44" bottom="0.43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wybierz_3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macro="[0]!wybierz_4">
                <anchor moveWithCells="1">
                  <from>
                    <xdr:col>2</xdr:col>
                    <xdr:colOff>0</xdr:colOff>
                    <xdr:row>3</xdr:row>
                    <xdr:rowOff>142875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 macro="[0]!wybierz_2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zepisz_2">
                <anchor moveWithCells="1" sizeWithCells="1">
                  <from>
                    <xdr:col>4</xdr:col>
                    <xdr:colOff>0</xdr:colOff>
                    <xdr:row>3</xdr:row>
                    <xdr:rowOff>38100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rzepisz_3">
                <anchor moveWithCells="1" sizeWithCells="1">
                  <from>
                    <xdr:col>6</xdr:col>
                    <xdr:colOff>0</xdr:colOff>
                    <xdr:row>3</xdr:row>
                    <xdr:rowOff>38100</xdr:rowOff>
                  </from>
                  <to>
                    <xdr:col>7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przepisz_4">
                <anchor moveWithCells="1" sizeWithCells="1">
                  <from>
                    <xdr:col>8</xdr:col>
                    <xdr:colOff>0</xdr:colOff>
                    <xdr:row>3</xdr:row>
                    <xdr:rowOff>38100</xdr:rowOff>
                  </from>
                  <to>
                    <xdr:col>9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E72"/>
  <sheetViews>
    <sheetView showGridLines="0" showRowColHeaders="0" workbookViewId="0">
      <selection activeCell="C1" sqref="C1:C1048576"/>
    </sheetView>
  </sheetViews>
  <sheetFormatPr defaultRowHeight="14.25"/>
  <cols>
    <col min="1" max="1" width="28.25" customWidth="1"/>
    <col min="2" max="2" width="12.625" customWidth="1"/>
    <col min="3" max="5" width="12.625" hidden="1" customWidth="1"/>
  </cols>
  <sheetData>
    <row r="1" spans="1:5">
      <c r="A1" s="46" t="s">
        <v>23</v>
      </c>
      <c r="B1" s="46"/>
      <c r="C1" s="46"/>
      <c r="D1" s="46"/>
    </row>
    <row r="4" spans="1:5" ht="15" thickBot="1"/>
    <row r="5" spans="1:5" ht="30" customHeight="1" thickBot="1">
      <c r="A5" s="15" t="s">
        <v>18</v>
      </c>
      <c r="B5" s="16" t="str">
        <f>CONCATENATE(METRYKA!C27&amp;" ("&amp;METRYKA!C29&amp;")")</f>
        <v xml:space="preserve"> ()</v>
      </c>
      <c r="C5" s="16" t="str">
        <f>CONCATENATE(METRYKA!E27&amp;" ("&amp;METRYKA!E29&amp;")")</f>
        <v xml:space="preserve"> ()</v>
      </c>
      <c r="D5" s="16" t="str">
        <f>CONCATENATE(METRYKA!G27&amp;" ("&amp;METRYKA!G29&amp;")")</f>
        <v xml:space="preserve"> ()</v>
      </c>
      <c r="E5" s="16" t="str">
        <f>CONCATENATE(METRYKA!I27&amp;" ("&amp;METRYKA!I29&amp;")")</f>
        <v xml:space="preserve"> ()</v>
      </c>
    </row>
    <row r="6" spans="1:5">
      <c r="A6" s="7" t="s">
        <v>21</v>
      </c>
      <c r="B6" s="3" t="str">
        <f>IF(METRYKA!C37="","",METRYKA!C37)</f>
        <v/>
      </c>
      <c r="C6" s="3" t="str">
        <f>IF(METRYKA!E37="","",METRYKA!E37)</f>
        <v/>
      </c>
      <c r="D6" s="3" t="str">
        <f>IF(METRYKA!G37="","",METRYKA!G37)</f>
        <v/>
      </c>
      <c r="E6" s="3" t="str">
        <f>IF(METRYKA!I37="","",METRYKA!I37)</f>
        <v/>
      </c>
    </row>
    <row r="7" spans="1:5">
      <c r="A7" s="8" t="s">
        <v>24</v>
      </c>
      <c r="B7" s="4" t="str">
        <f>IF(METRYKA!C39="","",METRYKA!C39)</f>
        <v/>
      </c>
      <c r="C7" s="4" t="str">
        <f>IF(METRYKA!E39="","",METRYKA!E39)</f>
        <v/>
      </c>
      <c r="D7" s="4" t="str">
        <f>IF(METRYKA!G39="","",METRYKA!G39)</f>
        <v/>
      </c>
      <c r="E7" s="4" t="str">
        <f>IF(METRYKA!I39="","",METRYKA!I39)</f>
        <v/>
      </c>
    </row>
    <row r="8" spans="1:5">
      <c r="A8" s="8" t="s">
        <v>25</v>
      </c>
      <c r="B8" s="4" t="str">
        <f>IF(METRYKA!C41="","",METRYKA!C41)</f>
        <v/>
      </c>
      <c r="C8" s="4" t="str">
        <f>IF(METRYKA!E41="","",METRYKA!E41)</f>
        <v/>
      </c>
      <c r="D8" s="4" t="str">
        <f>IF(METRYKA!G41="","",METRYKA!G41)</f>
        <v/>
      </c>
      <c r="E8" s="4" t="str">
        <f>IF(METRYKA!I41="","",METRYKA!I41)</f>
        <v/>
      </c>
    </row>
    <row r="9" spans="1:5">
      <c r="A9" s="8" t="s">
        <v>19</v>
      </c>
      <c r="B9" s="4" t="str">
        <f>IF(METRYKA!C43="","",METRYKA!C43)</f>
        <v/>
      </c>
      <c r="C9" s="4" t="str">
        <f>IF(METRYKA!E43="","",METRYKA!E43)</f>
        <v/>
      </c>
      <c r="D9" s="4" t="str">
        <f>IF(METRYKA!G43="","",METRYKA!G43)</f>
        <v/>
      </c>
      <c r="E9" s="4" t="str">
        <f>IF(METRYKA!I43="","",METRYKA!I43)</f>
        <v/>
      </c>
    </row>
    <row r="10" spans="1:5" ht="24.75" thickBot="1">
      <c r="A10" s="9" t="s">
        <v>20</v>
      </c>
      <c r="B10" s="5" t="str">
        <f>IF(METRYKA!C45="","",METRYKA!C45)</f>
        <v/>
      </c>
      <c r="C10" s="5" t="str">
        <f>IF(METRYKA!E45="","",METRYKA!E45)</f>
        <v/>
      </c>
      <c r="D10" s="5" t="str">
        <f>IF(METRYKA!G45="","",METRYKA!G45)</f>
        <v/>
      </c>
      <c r="E10" s="5" t="str">
        <f>IF(METRYKA!I45="","",METRYKA!I45)</f>
        <v/>
      </c>
    </row>
    <row r="11" spans="1:5" ht="15" thickBot="1">
      <c r="A11" s="10" t="s">
        <v>89</v>
      </c>
      <c r="B11" s="6" t="str">
        <f>IF(OR(B7="",B8="",B8=0,B9="",B10=""),"",ROUND((0.000000944)*(B9^2)*B8*SQRT(1000*B7/B8+9.8*B10),3))</f>
        <v/>
      </c>
      <c r="C11" s="6" t="str">
        <f t="shared" ref="C11:E11" si="0">IF(OR(C7="",C8="",C8=0,C9="",C10=""),"",ROUND((0.000000944)*(C9^2)*C8*SQRT(1000*C7/C8+9.8*C10),3))</f>
        <v/>
      </c>
      <c r="D11" s="6" t="str">
        <f t="shared" si="0"/>
        <v/>
      </c>
      <c r="E11" s="6" t="str">
        <f t="shared" si="0"/>
        <v/>
      </c>
    </row>
    <row r="13" spans="1:5" ht="15" thickBot="1">
      <c r="A13" s="11" t="s">
        <v>22</v>
      </c>
    </row>
    <row r="14" spans="1:5" ht="30" customHeight="1" thickBot="1">
      <c r="A14" s="17" t="s">
        <v>18</v>
      </c>
      <c r="B14" s="18" t="str">
        <f>B5</f>
        <v xml:space="preserve"> ()</v>
      </c>
      <c r="C14" s="18" t="str">
        <f t="shared" ref="C14:E14" si="1">C5</f>
        <v xml:space="preserve"> ()</v>
      </c>
      <c r="D14" s="18" t="str">
        <f t="shared" si="1"/>
        <v xml:space="preserve"> ()</v>
      </c>
      <c r="E14" s="18" t="str">
        <f t="shared" si="1"/>
        <v xml:space="preserve"> ()</v>
      </c>
    </row>
    <row r="15" spans="1:5" ht="15" thickBot="1">
      <c r="A15" s="10" t="s">
        <v>26</v>
      </c>
      <c r="B15" s="6" t="str">
        <f>IF(OR(B11="",METRYKA!C47=""),"",IF(METRYKA!C47*60*DOW_CEI!B11&gt;METRYKA!C11*1000,METRYKA!C11*1000,METRYKA!C47*60*DOW_CEI!B11))</f>
        <v/>
      </c>
      <c r="C15" s="6" t="str">
        <f>IF(OR(C11="",METRYKA!E47=""),"",IF(METRYKA!E47*60*DOW_CEI!C11&gt;METRYKA!E11*1000,METRYKA!E11*1000,METRYKA!E47*60*DOW_CEI!C11))</f>
        <v/>
      </c>
      <c r="D15" s="6" t="str">
        <f>IF(OR(D11="",METRYKA!G47=""),"",IF(METRYKA!G47*60*DOW_CEI!D11&gt;METRYKA!G11*1000,METRYKA!G11*1000,METRYKA!G47*60*DOW_CEI!D11))</f>
        <v/>
      </c>
      <c r="E15" s="6" t="str">
        <f>IF(OR(E11="",METRYKA!I47=""),"",IF(METRYKA!I47*60*DOW_CEI!E11&gt;METRYKA!I11*1000,METRYKA!I11*1000,METRYKA!I47*60*DOW_CEI!E11))</f>
        <v/>
      </c>
    </row>
    <row r="17" spans="1:5">
      <c r="A17" s="11" t="s">
        <v>27</v>
      </c>
    </row>
    <row r="20" spans="1:5" ht="15" thickBot="1"/>
    <row r="21" spans="1:5" ht="30" customHeight="1" thickBot="1">
      <c r="A21" s="17" t="s">
        <v>18</v>
      </c>
      <c r="B21" s="18" t="str">
        <f>B14</f>
        <v xml:space="preserve"> ()</v>
      </c>
      <c r="C21" s="18" t="str">
        <f t="shared" ref="C21:E21" si="2">C14</f>
        <v xml:space="preserve"> ()</v>
      </c>
      <c r="D21" s="18" t="str">
        <f t="shared" si="2"/>
        <v xml:space="preserve"> ()</v>
      </c>
      <c r="E21" s="18" t="str">
        <f t="shared" si="2"/>
        <v xml:space="preserve"> ()</v>
      </c>
    </row>
    <row r="22" spans="1:5" ht="25.5">
      <c r="A22" s="12" t="s">
        <v>90</v>
      </c>
      <c r="B22" s="20" t="str">
        <f>IF(METRYKA!C57="","-",METRYKA!C57)</f>
        <v>-</v>
      </c>
      <c r="C22" s="20" t="str">
        <f>IF(METRYKA!E57="","-",METRYKA!E57)</f>
        <v>-</v>
      </c>
      <c r="D22" s="20" t="str">
        <f>IF(METRYKA!G57="","-",METRYKA!G57)</f>
        <v>-</v>
      </c>
      <c r="E22" s="20" t="str">
        <f>IF(METRYKA!I57="","-",METRYKA!I57)</f>
        <v>-</v>
      </c>
    </row>
    <row r="23" spans="1:5">
      <c r="A23" s="13" t="s">
        <v>28</v>
      </c>
      <c r="B23" s="4" t="str">
        <f>IF(METRYKA!C59="","-",METRYKA!C59)</f>
        <v>-</v>
      </c>
      <c r="C23" s="4" t="str">
        <f>IF(METRYKA!E59="","-",METRYKA!E59)</f>
        <v>-</v>
      </c>
      <c r="D23" s="4" t="str">
        <f>IF(METRYKA!G59="","-",METRYKA!G59)</f>
        <v>-</v>
      </c>
      <c r="E23" s="4" t="str">
        <f>IF(METRYKA!I59="","-",METRYKA!I59)</f>
        <v>-</v>
      </c>
    </row>
    <row r="24" spans="1:5">
      <c r="A24" s="13" t="s">
        <v>29</v>
      </c>
      <c r="B24" s="4" t="str">
        <f>B6</f>
        <v/>
      </c>
      <c r="C24" s="4" t="str">
        <f t="shared" ref="C24:E24" si="3">C6</f>
        <v/>
      </c>
      <c r="D24" s="4" t="str">
        <f t="shared" si="3"/>
        <v/>
      </c>
      <c r="E24" s="4" t="str">
        <f t="shared" si="3"/>
        <v/>
      </c>
    </row>
    <row r="25" spans="1:5" ht="15" thickBot="1">
      <c r="A25" s="14" t="s">
        <v>30</v>
      </c>
      <c r="B25" s="21" t="str">
        <f>IF(METRYKA!C61="","-",METRYKA!C61)</f>
        <v>-</v>
      </c>
      <c r="C25" s="21" t="str">
        <f>IF(METRYKA!E61="","-",METRYKA!E61)</f>
        <v>-</v>
      </c>
      <c r="D25" s="21" t="str">
        <f>IF(METRYKA!G61="","-",METRYKA!G61)</f>
        <v>-</v>
      </c>
      <c r="E25" s="21" t="str">
        <f>IF(METRYKA!I61="","-",METRYKA!I61)</f>
        <v>-</v>
      </c>
    </row>
    <row r="26" spans="1:5" ht="15" thickBot="1">
      <c r="A26" s="19" t="s">
        <v>31</v>
      </c>
      <c r="B26" s="6">
        <f>IF(METRYKA!C51&lt;METRYKA!C61,0,IF(OR(B23="-",B23=0,B22="-"),0,B22/B23*(B24-B25)))</f>
        <v>0</v>
      </c>
      <c r="C26" s="6">
        <f>IF(METRYKA!E51&lt;METRYKA!E61,0,IF(OR(C23="-",C23=0,C22="-"),0,C22/C23*(C24-C25)))</f>
        <v>0</v>
      </c>
      <c r="D26" s="6">
        <f>IF(METRYKA!G51&lt;METRYKA!G61,0,IF(OR(D23="-",D23=0,D22="-"),0,D22/D23*(D24-D25)))</f>
        <v>0</v>
      </c>
      <c r="E26" s="6">
        <f>IF(METRYKA!I51&lt;METRYKA!I61,0,IF(OR(E23="-",E23=0,E22="-"),0,E22/E23*(E24-E25)))</f>
        <v>0</v>
      </c>
    </row>
    <row r="28" spans="1:5" ht="15" customHeight="1">
      <c r="A28" s="50" t="s">
        <v>32</v>
      </c>
      <c r="B28" s="49"/>
      <c r="C28" s="49"/>
      <c r="D28" s="49"/>
    </row>
    <row r="29" spans="1:5" ht="15" thickBot="1"/>
    <row r="30" spans="1:5" ht="30" customHeight="1" thickBot="1">
      <c r="A30" s="17" t="s">
        <v>18</v>
      </c>
      <c r="B30" s="18" t="str">
        <f>B5</f>
        <v xml:space="preserve"> ()</v>
      </c>
      <c r="C30" s="18" t="str">
        <f t="shared" ref="C30:E30" si="4">C5</f>
        <v xml:space="preserve"> ()</v>
      </c>
      <c r="D30" s="18" t="str">
        <f t="shared" si="4"/>
        <v xml:space="preserve"> ()</v>
      </c>
      <c r="E30" s="18" t="str">
        <f t="shared" si="4"/>
        <v xml:space="preserve"> ()</v>
      </c>
    </row>
    <row r="31" spans="1:5" ht="15" thickBot="1">
      <c r="A31" s="2" t="s">
        <v>35</v>
      </c>
      <c r="B31" s="6" t="e">
        <f>IF(B26="-",0,IF(B26&gt;=0.2,B11,5*B26*B11))</f>
        <v>#VALUE!</v>
      </c>
      <c r="C31" s="6" t="e">
        <f t="shared" ref="C31:E31" si="5">IF(C26="-",0,IF(C26&gt;=0.2,C11,5*C26*C11))</f>
        <v>#VALUE!</v>
      </c>
      <c r="D31" s="6" t="e">
        <f t="shared" si="5"/>
        <v>#VALUE!</v>
      </c>
      <c r="E31" s="6" t="e">
        <f t="shared" si="5"/>
        <v>#VALUE!</v>
      </c>
    </row>
    <row r="32" spans="1:5">
      <c r="A32" s="11" t="s">
        <v>37</v>
      </c>
    </row>
    <row r="34" spans="1:5">
      <c r="A34" s="11" t="s">
        <v>33</v>
      </c>
    </row>
    <row r="35" spans="1:5" ht="18.75" customHeight="1" thickBot="1"/>
    <row r="36" spans="1:5" ht="30" customHeight="1" thickBot="1">
      <c r="A36" s="17" t="s">
        <v>18</v>
      </c>
      <c r="B36" s="18" t="str">
        <f>B5</f>
        <v xml:space="preserve"> ()</v>
      </c>
      <c r="C36" s="18" t="str">
        <f t="shared" ref="C36:E36" si="6">C5</f>
        <v xml:space="preserve"> ()</v>
      </c>
      <c r="D36" s="18" t="str">
        <f t="shared" si="6"/>
        <v xml:space="preserve"> ()</v>
      </c>
      <c r="E36" s="18" t="str">
        <f t="shared" si="6"/>
        <v xml:space="preserve"> ()</v>
      </c>
    </row>
    <row r="37" spans="1:5" ht="15" thickBot="1">
      <c r="A37" s="19" t="s">
        <v>34</v>
      </c>
      <c r="B37" s="6" t="e">
        <f>IF(B26&gt;=0.2,0,B15*(1-5*B26))</f>
        <v>#VALUE!</v>
      </c>
      <c r="C37" s="6" t="e">
        <f t="shared" ref="C37:E37" si="7">IF(C26&gt;=0.2,0,C15*(1-5*C26))</f>
        <v>#VALUE!</v>
      </c>
      <c r="D37" s="6" t="e">
        <f t="shared" si="7"/>
        <v>#VALUE!</v>
      </c>
      <c r="E37" s="6" t="e">
        <f t="shared" si="7"/>
        <v>#VALUE!</v>
      </c>
    </row>
    <row r="39" spans="1:5">
      <c r="A39" s="11" t="s">
        <v>38</v>
      </c>
    </row>
    <row r="40" spans="1:5">
      <c r="A40" s="11"/>
    </row>
    <row r="41" spans="1:5" ht="21" customHeight="1" thickBot="1">
      <c r="A41" s="11"/>
    </row>
    <row r="42" spans="1:5" ht="30" customHeight="1" thickBot="1">
      <c r="A42" s="17" t="s">
        <v>18</v>
      </c>
      <c r="B42" s="18" t="str">
        <f>B5</f>
        <v xml:space="preserve"> ()</v>
      </c>
      <c r="C42" s="18" t="str">
        <f t="shared" ref="C42:E42" si="8">C5</f>
        <v xml:space="preserve"> ()</v>
      </c>
      <c r="D42" s="18" t="str">
        <f t="shared" si="8"/>
        <v xml:space="preserve"> ()</v>
      </c>
      <c r="E42" s="18" t="str">
        <f t="shared" si="8"/>
        <v xml:space="preserve"> ()</v>
      </c>
    </row>
    <row r="43" spans="1:5" ht="15" thickBot="1">
      <c r="A43" s="19" t="s">
        <v>39</v>
      </c>
      <c r="B43" s="6" t="str">
        <f>IF(OR(B8="",B8=0),"",IF(100*B37/B8&gt;METRYKA!C55,METRYKA!C55,ROUND(100*B37/B8,2)))</f>
        <v/>
      </c>
      <c r="C43" s="6" t="str">
        <f>IF(OR(C8="",C8=0),"",IF(100*C37/C8&gt;METRYKA!E55,METRYKA!E55,ROUND(100*C37/C8,2)))</f>
        <v/>
      </c>
      <c r="D43" s="6" t="str">
        <f>IF(OR(D8="",D8=0),"",IF(100*D37/D8&gt;METRYKA!G55,METRYKA!G55,ROUND(100*D37/D8,2)))</f>
        <v/>
      </c>
      <c r="E43" s="6" t="str">
        <f>IF(OR(E8="",E8=0),"",IF(100*E37/E8&gt;METRYKA!I55,METRYKA!I55,ROUND(100*E37/E8,2)))</f>
        <v/>
      </c>
    </row>
    <row r="45" spans="1:5">
      <c r="A45" s="11" t="s">
        <v>36</v>
      </c>
    </row>
    <row r="46" spans="1:5">
      <c r="A46" s="11"/>
    </row>
    <row r="47" spans="1:5" ht="17.25" customHeight="1" thickBot="1">
      <c r="A47" s="11"/>
    </row>
    <row r="48" spans="1:5" ht="30" customHeight="1" thickBot="1">
      <c r="A48" s="17" t="s">
        <v>18</v>
      </c>
      <c r="B48" s="18" t="str">
        <f>B5</f>
        <v xml:space="preserve"> ()</v>
      </c>
      <c r="C48" s="18" t="str">
        <f t="shared" ref="C48:E48" si="9">C5</f>
        <v xml:space="preserve"> ()</v>
      </c>
      <c r="D48" s="18" t="str">
        <f t="shared" si="9"/>
        <v xml:space="preserve"> ()</v>
      </c>
      <c r="E48" s="18" t="str">
        <f t="shared" si="9"/>
        <v xml:space="preserve"> ()</v>
      </c>
    </row>
    <row r="49" spans="1:5">
      <c r="A49" s="22" t="s">
        <v>40</v>
      </c>
      <c r="B49" s="20" t="str">
        <f>IF(METRYKA!C49="","",METRYKA!C49)</f>
        <v/>
      </c>
      <c r="C49" s="20" t="str">
        <f>IF(METRYKA!E49="","",METRYKA!E49)</f>
        <v/>
      </c>
      <c r="D49" s="20" t="str">
        <f>IF(METRYKA!G49="","",METRYKA!G49)</f>
        <v/>
      </c>
      <c r="E49" s="20" t="str">
        <f>IF(METRYKA!I49="","",METRYKA!I49)</f>
        <v/>
      </c>
    </row>
    <row r="50" spans="1:5" ht="25.5">
      <c r="A50" s="23" t="s">
        <v>91</v>
      </c>
      <c r="B50" s="4" t="str">
        <f>IF(METRYKA!C51="","",METRYKA!C51)</f>
        <v/>
      </c>
      <c r="C50" s="4" t="str">
        <f>IF(METRYKA!E51="","",METRYKA!E51)</f>
        <v/>
      </c>
      <c r="D50" s="4" t="str">
        <f>IF(METRYKA!G51="","",METRYKA!G51)</f>
        <v/>
      </c>
      <c r="E50" s="4" t="str">
        <f>IF(METRYKA!I51="","",METRYKA!I51)</f>
        <v/>
      </c>
    </row>
    <row r="51" spans="1:5" ht="15" thickBot="1">
      <c r="A51" s="24" t="s">
        <v>41</v>
      </c>
      <c r="B51" s="21" t="str">
        <f>IF(METRYKA!C53="","",METRYKA!C53)</f>
        <v/>
      </c>
      <c r="C51" s="21" t="str">
        <f>IF(METRYKA!E53="","",METRYKA!E53)</f>
        <v/>
      </c>
      <c r="D51" s="21" t="str">
        <f>IF(METRYKA!G53="","",METRYKA!G53)</f>
        <v/>
      </c>
      <c r="E51" s="21" t="str">
        <f>IF(METRYKA!I53="","",METRYKA!I53)</f>
        <v/>
      </c>
    </row>
    <row r="52" spans="1:5" ht="15" thickBot="1">
      <c r="A52" s="19" t="s">
        <v>42</v>
      </c>
      <c r="B52" s="6">
        <f>IF(OR(B49="",B50="",B51=""),0,ROUND(0.0009*(B43^0.95)*B49*B51/(273+B50),3))</f>
        <v>0</v>
      </c>
      <c r="C52" s="6">
        <f t="shared" ref="C52:E52" si="10">IF(OR(C49="",C50="",C51=""),0,ROUND(0.0009*(C43^0.95)*C49*C51/(273+C50),3))</f>
        <v>0</v>
      </c>
      <c r="D52" s="6">
        <f t="shared" si="10"/>
        <v>0</v>
      </c>
      <c r="E52" s="6">
        <f t="shared" si="10"/>
        <v>0</v>
      </c>
    </row>
    <row r="54" spans="1:5">
      <c r="A54" s="11" t="s">
        <v>43</v>
      </c>
    </row>
    <row r="55" spans="1:5" ht="18.75" customHeight="1" thickBot="1"/>
    <row r="56" spans="1:5" ht="30" customHeight="1" thickBot="1">
      <c r="A56" s="17" t="s">
        <v>18</v>
      </c>
      <c r="B56" s="18" t="str">
        <f>B5</f>
        <v xml:space="preserve"> ()</v>
      </c>
      <c r="C56" s="18" t="str">
        <f t="shared" ref="C56:E56" si="11">C5</f>
        <v xml:space="preserve"> ()</v>
      </c>
      <c r="D56" s="18" t="str">
        <f t="shared" si="11"/>
        <v xml:space="preserve"> ()</v>
      </c>
      <c r="E56" s="18" t="str">
        <f t="shared" si="11"/>
        <v xml:space="preserve"> ()</v>
      </c>
    </row>
    <row r="57" spans="1:5" ht="15" thickBot="1">
      <c r="A57" s="19" t="s">
        <v>44</v>
      </c>
      <c r="B57" s="6" t="e">
        <f>B31+B52</f>
        <v>#VALUE!</v>
      </c>
      <c r="C57" s="6" t="e">
        <f t="shared" ref="C57:E57" si="12">C31+C52</f>
        <v>#VALUE!</v>
      </c>
      <c r="D57" s="6" t="e">
        <f t="shared" si="12"/>
        <v>#VALUE!</v>
      </c>
      <c r="E57" s="6" t="e">
        <f t="shared" si="12"/>
        <v>#VALUE!</v>
      </c>
    </row>
    <row r="59" spans="1:5">
      <c r="A59" s="11" t="s">
        <v>45</v>
      </c>
    </row>
    <row r="61" spans="1:5" ht="18" customHeight="1"/>
    <row r="62" spans="1:5" ht="14.25" customHeight="1">
      <c r="A62" s="11" t="s">
        <v>46</v>
      </c>
    </row>
    <row r="63" spans="1:5" ht="14.25" customHeight="1"/>
    <row r="64" spans="1:5" ht="19.5" customHeight="1" thickBot="1"/>
    <row r="65" spans="1:5" ht="30" customHeight="1" thickBot="1">
      <c r="A65" s="17" t="s">
        <v>18</v>
      </c>
      <c r="B65" s="18" t="str">
        <f>B5</f>
        <v xml:space="preserve"> ()</v>
      </c>
      <c r="C65" s="18" t="str">
        <f t="shared" ref="C65:E65" si="13">C5</f>
        <v xml:space="preserve"> ()</v>
      </c>
      <c r="D65" s="18" t="str">
        <f t="shared" si="13"/>
        <v xml:space="preserve"> ()</v>
      </c>
      <c r="E65" s="18" t="str">
        <f t="shared" si="13"/>
        <v xml:space="preserve"> ()</v>
      </c>
    </row>
    <row r="66" spans="1:5">
      <c r="A66" s="22" t="s">
        <v>15</v>
      </c>
      <c r="B66" s="20" t="str">
        <f>IF(METRYKA!C31="","",METRYKA!C31)</f>
        <v/>
      </c>
      <c r="C66" s="20" t="str">
        <f>IF(METRYKA!E31="","",METRYKA!E31)</f>
        <v/>
      </c>
      <c r="D66" s="20" t="str">
        <f>IF(METRYKA!G31="","",METRYKA!G31)</f>
        <v/>
      </c>
      <c r="E66" s="20" t="str">
        <f>IF(METRYKA!I31="","",METRYKA!I31)</f>
        <v/>
      </c>
    </row>
    <row r="67" spans="1:5">
      <c r="A67" s="25" t="s">
        <v>17</v>
      </c>
      <c r="B67" s="4" t="str">
        <f>IF(METRYKA!C33="","",METRYKA!C33)</f>
        <v/>
      </c>
      <c r="C67" s="4" t="str">
        <f>IF(METRYKA!E33="","",METRYKA!E33)</f>
        <v/>
      </c>
      <c r="D67" s="4" t="str">
        <f>IF(METRYKA!G33="","",METRYKA!G33)</f>
        <v/>
      </c>
      <c r="E67" s="4" t="str">
        <f>IF(METRYKA!I33="","",METRYKA!I33)</f>
        <v/>
      </c>
    </row>
    <row r="68" spans="1:5" ht="15" thickBot="1">
      <c r="A68" s="26" t="s">
        <v>16</v>
      </c>
      <c r="B68" s="5" t="str">
        <f>IF(METRYKA!C35="","",METRYKA!C35)</f>
        <v/>
      </c>
      <c r="C68" s="5" t="str">
        <f>IF(METRYKA!E35="","",METRYKA!E35)</f>
        <v/>
      </c>
      <c r="D68" s="5" t="str">
        <f>IF(METRYKA!G35="","",METRYKA!G35)</f>
        <v/>
      </c>
      <c r="E68" s="5" t="str">
        <f>IF(METRYKA!I35="","",METRYKA!I35)</f>
        <v/>
      </c>
    </row>
    <row r="69" spans="1:5" ht="15" thickBot="1">
      <c r="A69" s="19" t="s">
        <v>50</v>
      </c>
      <c r="B69" s="6" t="str">
        <f>IF(OR(B67="",B67=0),"",ROUND(655.1*SQRT(B57/B67),1))</f>
        <v/>
      </c>
      <c r="C69" s="6" t="str">
        <f t="shared" ref="C69:E69" si="14">IF(OR(C67="",C67=0),"",ROUND(655.1*SQRT(C57/C67),2))</f>
        <v/>
      </c>
      <c r="D69" s="6" t="str">
        <f t="shared" si="14"/>
        <v/>
      </c>
      <c r="E69" s="6" t="str">
        <f t="shared" si="14"/>
        <v/>
      </c>
    </row>
    <row r="70" spans="1:5" ht="15" thickBot="1">
      <c r="A70" s="47" t="s">
        <v>51</v>
      </c>
      <c r="B70" s="48" t="str">
        <f>IF(OR(B66="",B66=0),"",ROUND(6551*SQRT(B57/B66),0))</f>
        <v/>
      </c>
      <c r="C70" s="48" t="str">
        <f t="shared" ref="C70:E70" si="15">IF(OR(C66="",C66=0),"",ROUND(6551*SQRT(C57/C66),0))</f>
        <v/>
      </c>
      <c r="D70" s="48" t="str">
        <f t="shared" si="15"/>
        <v/>
      </c>
      <c r="E70" s="48" t="str">
        <f t="shared" si="15"/>
        <v/>
      </c>
    </row>
    <row r="71" spans="1:5" ht="15" thickBot="1">
      <c r="A71" s="47" t="s">
        <v>52</v>
      </c>
      <c r="B71" s="48" t="str">
        <f>IF(OR(B67="",B67=0),"",ROUND(6551*SQRT(B57/B67),0))</f>
        <v/>
      </c>
      <c r="C71" s="48" t="str">
        <f t="shared" ref="C71:E71" si="16">IF(OR(C67="",C67=0),"",ROUND(6551*SQRT(C57/C67),0))</f>
        <v/>
      </c>
      <c r="D71" s="48" t="str">
        <f t="shared" si="16"/>
        <v/>
      </c>
      <c r="E71" s="48" t="str">
        <f t="shared" si="16"/>
        <v/>
      </c>
    </row>
    <row r="72" spans="1:5" ht="15" thickBot="1">
      <c r="A72" s="47" t="s">
        <v>53</v>
      </c>
      <c r="B72" s="48" t="str">
        <f>IF(OR(B68="",B68=0),"",ROUND(6551*SQRT(B57/B68),0))</f>
        <v/>
      </c>
      <c r="C72" s="48" t="str">
        <f t="shared" ref="C72:E72" si="17">IF(OR(C68="",C68=0),"",ROUND(6551*SQRT(C57/C68),0))</f>
        <v/>
      </c>
      <c r="D72" s="48" t="str">
        <f t="shared" si="17"/>
        <v/>
      </c>
      <c r="E72" s="48" t="str">
        <f t="shared" si="17"/>
        <v/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50" r:id="rId4">
          <objectPr defaultSize="0" r:id="rId5">
            <anchor moveWithCells="1">
              <from>
                <xdr:col>0</xdr:col>
                <xdr:colOff>0</xdr:colOff>
                <xdr:row>1</xdr:row>
                <xdr:rowOff>38100</xdr:rowOff>
              </from>
              <to>
                <xdr:col>1</xdr:col>
                <xdr:colOff>600075</xdr:colOff>
                <xdr:row>3</xdr:row>
                <xdr:rowOff>180975</xdr:rowOff>
              </to>
            </anchor>
          </objectPr>
        </oleObject>
      </mc:Choice>
      <mc:Fallback>
        <oleObject progId="Equation.3" shapeId="2050" r:id="rId4"/>
      </mc:Fallback>
    </mc:AlternateContent>
    <mc:AlternateContent xmlns:mc="http://schemas.openxmlformats.org/markup-compatibility/2006">
      <mc:Choice Requires="x14">
        <oleObject progId="Equation.3" shapeId="2051" r:id="rId6">
          <objectPr defaultSize="0" r:id="rId7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1228725</xdr:colOff>
                <xdr:row>19</xdr:row>
                <xdr:rowOff>95250</xdr:rowOff>
              </to>
            </anchor>
          </objectPr>
        </oleObject>
      </mc:Choice>
      <mc:Fallback>
        <oleObject progId="Equation.3" shapeId="2051" r:id="rId6"/>
      </mc:Fallback>
    </mc:AlternateContent>
    <mc:AlternateContent xmlns:mc="http://schemas.openxmlformats.org/markup-compatibility/2006">
      <mc:Choice Requires="x14">
        <oleObject progId="Equation.3" shapeId="2052" r:id="rId8">
          <objectPr defaultSize="0" r:id="rId9">
            <anchor moveWithCells="1">
              <from>
                <xdr:col>0</xdr:col>
                <xdr:colOff>0</xdr:colOff>
                <xdr:row>27</xdr:row>
                <xdr:rowOff>171450</xdr:rowOff>
              </from>
              <to>
                <xdr:col>0</xdr:col>
                <xdr:colOff>1019175</xdr:colOff>
                <xdr:row>29</xdr:row>
                <xdr:rowOff>28575</xdr:rowOff>
              </to>
            </anchor>
          </objectPr>
        </oleObject>
      </mc:Choice>
      <mc:Fallback>
        <oleObject progId="Equation.3" shapeId="2052" r:id="rId8"/>
      </mc:Fallback>
    </mc:AlternateContent>
    <mc:AlternateContent xmlns:mc="http://schemas.openxmlformats.org/markup-compatibility/2006">
      <mc:Choice Requires="x14">
        <oleObject progId="Equation.3" shapeId="2054" r:id="rId10">
          <objectPr defaultSize="0" r:id="rId11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1257300</xdr:colOff>
                <xdr:row>35</xdr:row>
                <xdr:rowOff>0</xdr:rowOff>
              </to>
            </anchor>
          </objectPr>
        </oleObject>
      </mc:Choice>
      <mc:Fallback>
        <oleObject progId="Equation.3" shapeId="2054" r:id="rId10"/>
      </mc:Fallback>
    </mc:AlternateContent>
    <mc:AlternateContent xmlns:mc="http://schemas.openxmlformats.org/markup-compatibility/2006">
      <mc:Choice Requires="x14">
        <oleObject progId="Equation.3" shapeId="2055" r:id="rId12">
          <objectPr defaultSize="0" r:id="rId13">
            <anchor moveWithCells="1">
              <from>
                <xdr:col>0</xdr:col>
                <xdr:colOff>0</xdr:colOff>
                <xdr:row>44</xdr:row>
                <xdr:rowOff>161925</xdr:rowOff>
              </from>
              <to>
                <xdr:col>0</xdr:col>
                <xdr:colOff>1914525</xdr:colOff>
                <xdr:row>47</xdr:row>
                <xdr:rowOff>0</xdr:rowOff>
              </to>
            </anchor>
          </objectPr>
        </oleObject>
      </mc:Choice>
      <mc:Fallback>
        <oleObject progId="Equation.3" shapeId="2055" r:id="rId12"/>
      </mc:Fallback>
    </mc:AlternateContent>
    <mc:AlternateContent xmlns:mc="http://schemas.openxmlformats.org/markup-compatibility/2006">
      <mc:Choice Requires="x14">
        <oleObject progId="Equation.3" shapeId="2056" r:id="rId14">
          <objectPr defaultSize="0" r:id="rId15">
            <anchor moveWithCells="1">
              <from>
                <xdr:col>0</xdr:col>
                <xdr:colOff>0</xdr:colOff>
                <xdr:row>38</xdr:row>
                <xdr:rowOff>171450</xdr:rowOff>
              </from>
              <to>
                <xdr:col>0</xdr:col>
                <xdr:colOff>904875</xdr:colOff>
                <xdr:row>41</xdr:row>
                <xdr:rowOff>0</xdr:rowOff>
              </to>
            </anchor>
          </objectPr>
        </oleObject>
      </mc:Choice>
      <mc:Fallback>
        <oleObject progId="Equation.3" shapeId="2056" r:id="rId14"/>
      </mc:Fallback>
    </mc:AlternateContent>
    <mc:AlternateContent xmlns:mc="http://schemas.openxmlformats.org/markup-compatibility/2006">
      <mc:Choice Requires="x14">
        <oleObject progId="Equation.3" shapeId="2059" r:id="rId16">
          <objectPr defaultSize="0" r:id="rId17">
            <anchor moveWithCells="1">
              <from>
                <xdr:col>0</xdr:col>
                <xdr:colOff>0</xdr:colOff>
                <xdr:row>53</xdr:row>
                <xdr:rowOff>161925</xdr:rowOff>
              </from>
              <to>
                <xdr:col>0</xdr:col>
                <xdr:colOff>1152525</xdr:colOff>
                <xdr:row>54</xdr:row>
                <xdr:rowOff>219075</xdr:rowOff>
              </to>
            </anchor>
          </objectPr>
        </oleObject>
      </mc:Choice>
      <mc:Fallback>
        <oleObject progId="Equation.3" shapeId="2059" r:id="rId16"/>
      </mc:Fallback>
    </mc:AlternateContent>
    <mc:AlternateContent xmlns:mc="http://schemas.openxmlformats.org/markup-compatibility/2006">
      <mc:Choice Requires="x14">
        <oleObject progId="Equation.3" shapeId="2060" r:id="rId18">
          <objectPr defaultSize="0" r:id="rId19">
            <anchor moveWithCells="1">
              <from>
                <xdr:col>0</xdr:col>
                <xdr:colOff>0</xdr:colOff>
                <xdr:row>58</xdr:row>
                <xdr:rowOff>133350</xdr:rowOff>
              </from>
              <to>
                <xdr:col>0</xdr:col>
                <xdr:colOff>1524000</xdr:colOff>
                <xdr:row>60</xdr:row>
                <xdr:rowOff>219075</xdr:rowOff>
              </to>
            </anchor>
          </objectPr>
        </oleObject>
      </mc:Choice>
      <mc:Fallback>
        <oleObject progId="Equation.3" shapeId="2060" r:id="rId18"/>
      </mc:Fallback>
    </mc:AlternateContent>
    <mc:AlternateContent xmlns:mc="http://schemas.openxmlformats.org/markup-compatibility/2006">
      <mc:Choice Requires="x14">
        <oleObject progId="Equation.3" shapeId="2061" r:id="rId20">
          <objectPr defaultSize="0" r:id="rId21">
            <anchor moveWithCells="1">
              <from>
                <xdr:col>0</xdr:col>
                <xdr:colOff>9525</xdr:colOff>
                <xdr:row>61</xdr:row>
                <xdr:rowOff>152400</xdr:rowOff>
              </from>
              <to>
                <xdr:col>0</xdr:col>
                <xdr:colOff>1447800</xdr:colOff>
                <xdr:row>63</xdr:row>
                <xdr:rowOff>238125</xdr:rowOff>
              </to>
            </anchor>
          </objectPr>
        </oleObject>
      </mc:Choice>
      <mc:Fallback>
        <oleObject progId="Equation.3" shapeId="2061" r:id="rId2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I35"/>
  <sheetViews>
    <sheetView showGridLines="0" showRowColHeaders="0" workbookViewId="0">
      <selection activeCell="G22" sqref="G22:I22"/>
    </sheetView>
  </sheetViews>
  <sheetFormatPr defaultRowHeight="14.25"/>
  <sheetData>
    <row r="1" spans="1:9" ht="15.75" customHeight="1">
      <c r="A1" s="54" t="s">
        <v>54</v>
      </c>
      <c r="B1" s="55"/>
      <c r="C1" s="55"/>
      <c r="D1" s="55"/>
      <c r="E1" s="55"/>
      <c r="F1" s="55"/>
      <c r="G1" s="55"/>
      <c r="H1" s="55"/>
      <c r="I1" s="56"/>
    </row>
    <row r="2" spans="1:9">
      <c r="A2" s="27"/>
      <c r="B2" s="29"/>
      <c r="C2" s="29"/>
      <c r="D2" s="29"/>
      <c r="E2" s="29"/>
      <c r="F2" s="29"/>
      <c r="G2" s="29"/>
      <c r="H2" s="29"/>
      <c r="I2" s="30"/>
    </row>
    <row r="3" spans="1:9" ht="14.25" customHeight="1">
      <c r="A3" s="27" t="s">
        <v>55</v>
      </c>
      <c r="B3" s="57" t="str">
        <f>IF(METRYKA!C7="","",METRYKA!C7)</f>
        <v/>
      </c>
      <c r="C3" s="57"/>
      <c r="D3" s="57"/>
      <c r="E3" s="57"/>
      <c r="F3" s="31" t="s">
        <v>56</v>
      </c>
      <c r="G3" s="57" t="str">
        <f>IF(METRYKA!C9="","",METRYKA!C9)</f>
        <v/>
      </c>
      <c r="H3" s="57"/>
      <c r="I3" s="59"/>
    </row>
    <row r="4" spans="1:9">
      <c r="A4" s="27"/>
      <c r="B4" s="29"/>
      <c r="C4" s="29"/>
      <c r="D4" s="29"/>
      <c r="E4" s="29"/>
      <c r="F4" s="29"/>
      <c r="G4" s="29"/>
      <c r="H4" s="29"/>
      <c r="I4" s="30"/>
    </row>
    <row r="5" spans="1:9">
      <c r="A5" s="27" t="s">
        <v>57</v>
      </c>
      <c r="B5" s="58" t="str">
        <f>IF(METRYKA!C27="","",METRYKA!C27)</f>
        <v/>
      </c>
      <c r="C5" s="58"/>
      <c r="D5" s="58"/>
      <c r="E5" s="58"/>
      <c r="F5" s="57" t="s">
        <v>80</v>
      </c>
      <c r="G5" s="57"/>
      <c r="H5" s="57"/>
      <c r="I5" s="30" t="str">
        <f>IF(METRYKA!C11="","",METRYKA!C11)</f>
        <v/>
      </c>
    </row>
    <row r="6" spans="1:9">
      <c r="A6" s="27"/>
      <c r="B6" s="29"/>
      <c r="C6" s="29"/>
      <c r="D6" s="29"/>
      <c r="E6" s="29"/>
      <c r="F6" s="29"/>
      <c r="G6" s="29"/>
      <c r="H6" s="29"/>
      <c r="I6" s="30"/>
    </row>
    <row r="7" spans="1:9">
      <c r="A7" s="60" t="s">
        <v>58</v>
      </c>
      <c r="B7" s="61"/>
      <c r="C7" s="57" t="str">
        <f>IF(METRYKA!C13="","",METRYKA!C13)</f>
        <v/>
      </c>
      <c r="D7" s="57"/>
      <c r="E7" s="57"/>
      <c r="F7" s="57"/>
      <c r="G7" s="57"/>
      <c r="H7" s="57"/>
      <c r="I7" s="59"/>
    </row>
    <row r="8" spans="1:9">
      <c r="A8" s="27"/>
      <c r="B8" s="29"/>
      <c r="C8" s="29"/>
      <c r="D8" s="29"/>
      <c r="E8" s="29"/>
      <c r="F8" s="29"/>
      <c r="G8" s="29"/>
      <c r="H8" s="29"/>
      <c r="I8" s="30"/>
    </row>
    <row r="9" spans="1:9">
      <c r="A9" s="60" t="s">
        <v>85</v>
      </c>
      <c r="B9" s="61"/>
      <c r="C9" s="61"/>
      <c r="D9" s="29" t="str">
        <f>IF(METRYKA!C39="","",METRYKA!C39)</f>
        <v/>
      </c>
      <c r="E9" s="29" t="s">
        <v>59</v>
      </c>
      <c r="F9" s="57" t="s">
        <v>86</v>
      </c>
      <c r="G9" s="57"/>
      <c r="H9" s="57" t="str">
        <f>IF(METRYKA!C37="","",METRYKA!C37)</f>
        <v/>
      </c>
      <c r="I9" s="59"/>
    </row>
    <row r="10" spans="1:9">
      <c r="A10" s="27"/>
      <c r="B10" s="29"/>
      <c r="C10" s="29"/>
      <c r="D10" s="29"/>
      <c r="E10" s="29"/>
      <c r="F10" s="29"/>
      <c r="G10" s="29"/>
      <c r="H10" s="29"/>
      <c r="I10" s="30"/>
    </row>
    <row r="11" spans="1:9">
      <c r="A11" s="62" t="s">
        <v>60</v>
      </c>
      <c r="B11" s="63"/>
      <c r="C11" s="63"/>
      <c r="D11" s="63"/>
      <c r="E11" s="57" t="str">
        <f>IF(METRYKA!C15="","",METRYKA!C15)</f>
        <v/>
      </c>
      <c r="F11" s="57"/>
      <c r="G11" s="57"/>
      <c r="H11" s="57"/>
      <c r="I11" s="59"/>
    </row>
    <row r="12" spans="1:9">
      <c r="A12" s="27"/>
      <c r="B12" s="57"/>
      <c r="C12" s="57"/>
      <c r="D12" s="57"/>
      <c r="E12" s="29"/>
      <c r="F12" s="29"/>
      <c r="G12" s="29"/>
      <c r="H12" s="29"/>
      <c r="I12" s="30"/>
    </row>
    <row r="13" spans="1:9">
      <c r="A13" s="62" t="s">
        <v>61</v>
      </c>
      <c r="B13" s="63"/>
      <c r="C13" s="63"/>
      <c r="D13" s="63"/>
      <c r="E13" s="63"/>
      <c r="F13" s="29"/>
      <c r="G13" s="29"/>
      <c r="H13" s="29" t="str">
        <f>IF(DOW_CEI!B11="","",DOW_CEI!B11)</f>
        <v/>
      </c>
      <c r="I13" s="30" t="s">
        <v>62</v>
      </c>
    </row>
    <row r="14" spans="1:9">
      <c r="A14" s="27"/>
      <c r="B14" s="29"/>
      <c r="C14" s="29"/>
      <c r="D14" s="29"/>
      <c r="E14" s="29"/>
      <c r="F14" s="29"/>
      <c r="G14" s="29"/>
      <c r="H14" s="29"/>
      <c r="I14" s="30"/>
    </row>
    <row r="15" spans="1:9" ht="15" customHeight="1">
      <c r="A15" s="64" t="s">
        <v>63</v>
      </c>
      <c r="B15" s="65"/>
      <c r="C15" s="65"/>
      <c r="D15" s="65"/>
      <c r="E15" s="65"/>
      <c r="F15" s="65"/>
      <c r="G15" s="58" t="str">
        <f>IF(DOW_CEI!B69="","",DOW_CEI!B69)</f>
        <v/>
      </c>
      <c r="H15" s="58"/>
      <c r="I15" s="66"/>
    </row>
    <row r="16" spans="1:9">
      <c r="A16" s="27"/>
      <c r="B16" s="29"/>
      <c r="C16" s="29"/>
      <c r="D16" s="29"/>
      <c r="E16" s="29"/>
      <c r="F16" s="29"/>
      <c r="G16" s="29"/>
      <c r="H16" s="29"/>
      <c r="I16" s="30"/>
    </row>
    <row r="17" spans="1:9">
      <c r="A17" s="43" t="s">
        <v>87</v>
      </c>
      <c r="B17" s="29"/>
      <c r="C17" s="29"/>
      <c r="D17" s="29"/>
      <c r="E17" s="58" t="s">
        <v>64</v>
      </c>
      <c r="F17" s="58"/>
      <c r="G17" s="58" t="s">
        <v>65</v>
      </c>
      <c r="H17" s="58"/>
      <c r="I17" s="66"/>
    </row>
    <row r="18" spans="1:9">
      <c r="A18" s="27"/>
      <c r="B18" s="29"/>
      <c r="C18" s="29"/>
      <c r="D18" s="29"/>
      <c r="E18" s="29" t="s">
        <v>66</v>
      </c>
      <c r="F18" s="29" t="s">
        <v>67</v>
      </c>
      <c r="G18" s="57" t="s">
        <v>68</v>
      </c>
      <c r="H18" s="57"/>
      <c r="I18" s="59"/>
    </row>
    <row r="19" spans="1:9">
      <c r="A19" s="27"/>
      <c r="B19" s="29"/>
      <c r="C19" s="29"/>
      <c r="D19" s="57"/>
      <c r="E19" s="57"/>
      <c r="F19" s="57"/>
      <c r="G19" s="57"/>
      <c r="H19" s="57"/>
      <c r="I19" s="59"/>
    </row>
    <row r="20" spans="1:9">
      <c r="A20" s="27"/>
      <c r="B20" s="29"/>
      <c r="C20" s="29" t="s">
        <v>47</v>
      </c>
      <c r="D20" s="68" t="str">
        <f>IF(METRYKA!C31="","",METRYKA!C31)</f>
        <v/>
      </c>
      <c r="E20" s="68"/>
      <c r="F20" s="32"/>
      <c r="G20" s="57" t="str">
        <f>IF(DOW_CEI!B70="","",DOW_CEI!B70)</f>
        <v/>
      </c>
      <c r="H20" s="57"/>
      <c r="I20" s="59"/>
    </row>
    <row r="21" spans="1:9">
      <c r="A21" s="27"/>
      <c r="B21" s="29"/>
      <c r="C21" s="29" t="s">
        <v>48</v>
      </c>
      <c r="D21" s="69" t="str">
        <f>IF(METRYKA!C33="","",METRYKA!C33)</f>
        <v/>
      </c>
      <c r="E21" s="69"/>
      <c r="F21" s="33"/>
      <c r="G21" s="58" t="str">
        <f>IF(DOW_CEI!B71="","",DOW_CEI!B71)</f>
        <v/>
      </c>
      <c r="H21" s="58"/>
      <c r="I21" s="66"/>
    </row>
    <row r="22" spans="1:9">
      <c r="A22" s="27"/>
      <c r="B22" s="29"/>
      <c r="C22" s="29" t="s">
        <v>49</v>
      </c>
      <c r="D22" s="68" t="str">
        <f>IF(METRYKA!C35="","",METRYKA!C35)</f>
        <v/>
      </c>
      <c r="E22" s="68"/>
      <c r="F22" s="28"/>
      <c r="G22" s="57" t="str">
        <f>IF(DOW_CEI!B72="","",DOW_CEI!B72)</f>
        <v/>
      </c>
      <c r="H22" s="57"/>
      <c r="I22" s="59"/>
    </row>
    <row r="23" spans="1:9">
      <c r="A23" s="27"/>
      <c r="B23" s="29"/>
      <c r="C23" s="29"/>
      <c r="D23" s="29"/>
      <c r="E23" s="29"/>
      <c r="F23" s="29"/>
      <c r="G23" s="29"/>
      <c r="H23" s="29"/>
      <c r="I23" s="30"/>
    </row>
    <row r="24" spans="1:9">
      <c r="A24" s="62" t="s">
        <v>69</v>
      </c>
      <c r="B24" s="63"/>
      <c r="C24" s="29"/>
      <c r="D24" s="29"/>
      <c r="E24" s="29"/>
      <c r="F24" s="29"/>
      <c r="G24" s="29"/>
      <c r="H24" s="29"/>
      <c r="I24" s="30"/>
    </row>
    <row r="25" spans="1:9">
      <c r="A25" s="27"/>
      <c r="B25" s="29"/>
      <c r="C25" s="29"/>
      <c r="D25" s="29"/>
      <c r="E25" s="29"/>
      <c r="F25" s="29"/>
      <c r="G25" s="29"/>
      <c r="H25" s="57" t="s">
        <v>70</v>
      </c>
      <c r="I25" s="59"/>
    </row>
    <row r="26" spans="1:9">
      <c r="A26" s="27"/>
      <c r="B26" s="67" t="s">
        <v>71</v>
      </c>
      <c r="C26" s="67"/>
      <c r="D26" s="67"/>
      <c r="E26" s="67"/>
      <c r="F26" s="57"/>
      <c r="G26" s="57"/>
      <c r="H26" s="57" t="str">
        <f>IF(METRYKA!C17="","",METRYKA!C17)</f>
        <v/>
      </c>
      <c r="I26" s="59"/>
    </row>
    <row r="27" spans="1:9">
      <c r="A27" s="27"/>
      <c r="B27" s="67"/>
      <c r="C27" s="67"/>
      <c r="D27" s="67"/>
      <c r="E27" s="31"/>
      <c r="F27" s="29"/>
      <c r="G27" s="29"/>
      <c r="H27" s="29"/>
      <c r="I27" s="30"/>
    </row>
    <row r="28" spans="1:9">
      <c r="A28" s="27"/>
      <c r="B28" s="67" t="s">
        <v>72</v>
      </c>
      <c r="C28" s="67"/>
      <c r="D28" s="67"/>
      <c r="E28" s="67"/>
      <c r="F28" s="29"/>
      <c r="G28" s="29"/>
      <c r="H28" s="57" t="str">
        <f>IF(METRYKA!C19="","",METRYKA!C19)</f>
        <v/>
      </c>
      <c r="I28" s="59"/>
    </row>
    <row r="29" spans="1:9">
      <c r="A29" s="27"/>
      <c r="B29" s="67"/>
      <c r="C29" s="67"/>
      <c r="D29" s="67"/>
      <c r="E29" s="31"/>
      <c r="F29" s="29"/>
      <c r="G29" s="29"/>
      <c r="H29" s="29"/>
      <c r="I29" s="30"/>
    </row>
    <row r="30" spans="1:9">
      <c r="A30" s="27"/>
      <c r="B30" s="67" t="s">
        <v>73</v>
      </c>
      <c r="C30" s="67"/>
      <c r="D30" s="67"/>
      <c r="E30" s="67"/>
      <c r="F30" s="67"/>
      <c r="G30" s="29"/>
      <c r="H30" s="57" t="str">
        <f>IF(METRYKA!C21="","",METRYKA!C21)</f>
        <v/>
      </c>
      <c r="I30" s="59"/>
    </row>
    <row r="31" spans="1:9">
      <c r="A31" s="27"/>
      <c r="B31" s="29"/>
      <c r="C31" s="29"/>
      <c r="D31" s="29"/>
      <c r="E31" s="29"/>
      <c r="F31" s="29"/>
      <c r="G31" s="29"/>
      <c r="H31" s="29"/>
      <c r="I31" s="30"/>
    </row>
    <row r="32" spans="1:9">
      <c r="A32" s="27"/>
      <c r="B32" s="29"/>
      <c r="C32" s="29"/>
      <c r="D32" s="29"/>
      <c r="E32" s="29"/>
      <c r="F32" s="29"/>
      <c r="G32" s="29"/>
      <c r="H32" s="29" t="s">
        <v>74</v>
      </c>
      <c r="I32" s="30"/>
    </row>
    <row r="33" spans="1:9">
      <c r="A33" s="62" t="s">
        <v>75</v>
      </c>
      <c r="B33" s="63"/>
      <c r="C33" s="57" t="str">
        <f>IF(METRYKA!C23="","",METRYKA!C23)</f>
        <v/>
      </c>
      <c r="D33" s="57"/>
      <c r="E33" s="29"/>
      <c r="F33" s="29"/>
      <c r="G33" s="29"/>
      <c r="H33" s="70">
        <f ca="1">NOW()</f>
        <v>42181.477910995367</v>
      </c>
      <c r="I33" s="59"/>
    </row>
    <row r="34" spans="1:9">
      <c r="A34" s="27"/>
      <c r="B34" s="29"/>
      <c r="C34" s="29"/>
      <c r="D34" s="29"/>
      <c r="E34" s="29"/>
      <c r="F34" s="29"/>
      <c r="G34" s="29"/>
      <c r="H34" s="29"/>
      <c r="I34" s="30"/>
    </row>
    <row r="35" spans="1:9" ht="15" thickBot="1">
      <c r="A35" s="34" t="s">
        <v>76</v>
      </c>
      <c r="B35" s="35"/>
      <c r="C35" s="71" t="str">
        <f>IF(METRYKA!C25="","",METRYKA!C25)</f>
        <v/>
      </c>
      <c r="D35" s="71"/>
      <c r="E35" s="35"/>
      <c r="F35" s="35"/>
      <c r="G35" s="35"/>
      <c r="H35" s="35"/>
      <c r="I35" s="36"/>
    </row>
  </sheetData>
  <mergeCells count="42">
    <mergeCell ref="A33:B33"/>
    <mergeCell ref="C33:D33"/>
    <mergeCell ref="H33:I33"/>
    <mergeCell ref="C35:D35"/>
    <mergeCell ref="G3:I3"/>
    <mergeCell ref="B12:D12"/>
    <mergeCell ref="B27:D27"/>
    <mergeCell ref="B28:E28"/>
    <mergeCell ref="H28:I28"/>
    <mergeCell ref="B29:D29"/>
    <mergeCell ref="B30:F30"/>
    <mergeCell ref="H30:I30"/>
    <mergeCell ref="D22:E22"/>
    <mergeCell ref="G22:I22"/>
    <mergeCell ref="A24:B24"/>
    <mergeCell ref="H25:I25"/>
    <mergeCell ref="G17:I17"/>
    <mergeCell ref="B26:E26"/>
    <mergeCell ref="F26:G26"/>
    <mergeCell ref="H26:I26"/>
    <mergeCell ref="D19:F19"/>
    <mergeCell ref="G19:I19"/>
    <mergeCell ref="D20:E20"/>
    <mergeCell ref="G20:I20"/>
    <mergeCell ref="D21:E21"/>
    <mergeCell ref="G21:I21"/>
    <mergeCell ref="A1:I1"/>
    <mergeCell ref="B3:E3"/>
    <mergeCell ref="B5:E5"/>
    <mergeCell ref="F5:H5"/>
    <mergeCell ref="G18:I18"/>
    <mergeCell ref="A7:B7"/>
    <mergeCell ref="C7:I7"/>
    <mergeCell ref="A9:C9"/>
    <mergeCell ref="F9:G9"/>
    <mergeCell ref="H9:I9"/>
    <mergeCell ref="A11:D11"/>
    <mergeCell ref="E11:I11"/>
    <mergeCell ref="A13:E13"/>
    <mergeCell ref="A15:F15"/>
    <mergeCell ref="G15:I15"/>
    <mergeCell ref="E17:F17"/>
  </mergeCells>
  <pageMargins left="0.42" right="0.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I35"/>
  <sheetViews>
    <sheetView showGridLines="0" showRowColHeaders="0" workbookViewId="0">
      <selection activeCell="H24" sqref="H24"/>
    </sheetView>
  </sheetViews>
  <sheetFormatPr defaultRowHeight="14.25"/>
  <sheetData>
    <row r="1" spans="1:9" ht="15.75" customHeight="1">
      <c r="A1" s="54" t="s">
        <v>54</v>
      </c>
      <c r="B1" s="55"/>
      <c r="C1" s="55"/>
      <c r="D1" s="55"/>
      <c r="E1" s="55"/>
      <c r="F1" s="55"/>
      <c r="G1" s="55"/>
      <c r="H1" s="55"/>
      <c r="I1" s="56"/>
    </row>
    <row r="2" spans="1:9">
      <c r="A2" s="27"/>
      <c r="B2" s="29"/>
      <c r="C2" s="29"/>
      <c r="D2" s="29"/>
      <c r="E2" s="29"/>
      <c r="F2" s="29"/>
      <c r="G2" s="29"/>
      <c r="H2" s="29"/>
      <c r="I2" s="30"/>
    </row>
    <row r="3" spans="1:9" ht="14.25" customHeight="1">
      <c r="A3" s="27" t="s">
        <v>55</v>
      </c>
      <c r="B3" s="57" t="str">
        <f>IF(METRYKA!E7="","",METRYKA!E7)</f>
        <v/>
      </c>
      <c r="C3" s="57"/>
      <c r="D3" s="57"/>
      <c r="E3" s="57"/>
      <c r="F3" s="31" t="s">
        <v>56</v>
      </c>
      <c r="G3" s="57" t="str">
        <f>IF(METRYKA!E9="","",METRYKA!E9)</f>
        <v/>
      </c>
      <c r="H3" s="57"/>
      <c r="I3" s="59"/>
    </row>
    <row r="4" spans="1:9">
      <c r="A4" s="27"/>
      <c r="B4" s="29"/>
      <c r="C4" s="29"/>
      <c r="D4" s="29"/>
      <c r="E4" s="29"/>
      <c r="F4" s="29"/>
      <c r="G4" s="29"/>
      <c r="H4" s="29"/>
      <c r="I4" s="30"/>
    </row>
    <row r="5" spans="1:9">
      <c r="A5" s="27" t="s">
        <v>57</v>
      </c>
      <c r="B5" s="58" t="str">
        <f>IF(METRYKA!E27="","",METRYKA!E27)</f>
        <v/>
      </c>
      <c r="C5" s="58"/>
      <c r="D5" s="58"/>
      <c r="E5" s="58"/>
      <c r="F5" s="57" t="s">
        <v>80</v>
      </c>
      <c r="G5" s="57"/>
      <c r="H5" s="57"/>
      <c r="I5" s="30" t="str">
        <f>IF(METRYKA!E11="","",METRYKA!E11)</f>
        <v/>
      </c>
    </row>
    <row r="6" spans="1:9">
      <c r="A6" s="27"/>
      <c r="B6" s="29"/>
      <c r="C6" s="29"/>
      <c r="D6" s="29"/>
      <c r="E6" s="29"/>
      <c r="F6" s="29"/>
      <c r="G6" s="29"/>
      <c r="H6" s="29"/>
      <c r="I6" s="30"/>
    </row>
    <row r="7" spans="1:9">
      <c r="A7" s="60" t="s">
        <v>58</v>
      </c>
      <c r="B7" s="61"/>
      <c r="C7" s="57" t="str">
        <f>IF(METRYKA!E13="","",METRYKA!E13)</f>
        <v/>
      </c>
      <c r="D7" s="57"/>
      <c r="E7" s="57"/>
      <c r="F7" s="57"/>
      <c r="G7" s="57"/>
      <c r="H7" s="57"/>
      <c r="I7" s="59"/>
    </row>
    <row r="8" spans="1:9">
      <c r="A8" s="27"/>
      <c r="B8" s="29"/>
      <c r="C8" s="29"/>
      <c r="D8" s="29"/>
      <c r="E8" s="29"/>
      <c r="F8" s="29"/>
      <c r="G8" s="29"/>
      <c r="H8" s="29"/>
      <c r="I8" s="30"/>
    </row>
    <row r="9" spans="1:9">
      <c r="A9" s="60" t="s">
        <v>85</v>
      </c>
      <c r="B9" s="61"/>
      <c r="C9" s="61"/>
      <c r="D9" s="29" t="str">
        <f>IF(METRYKA!E39="","",METRYKA!E39)</f>
        <v/>
      </c>
      <c r="E9" s="29" t="s">
        <v>59</v>
      </c>
      <c r="F9" s="57" t="s">
        <v>86</v>
      </c>
      <c r="G9" s="57"/>
      <c r="H9" s="57" t="str">
        <f>IF(METRYKA!E37="","",METRYKA!E37)</f>
        <v/>
      </c>
      <c r="I9" s="59"/>
    </row>
    <row r="10" spans="1:9">
      <c r="A10" s="27"/>
      <c r="B10" s="29"/>
      <c r="C10" s="29"/>
      <c r="D10" s="29"/>
      <c r="E10" s="29"/>
      <c r="F10" s="29"/>
      <c r="G10" s="29"/>
      <c r="H10" s="29"/>
      <c r="I10" s="30"/>
    </row>
    <row r="11" spans="1:9">
      <c r="A11" s="62" t="s">
        <v>60</v>
      </c>
      <c r="B11" s="63"/>
      <c r="C11" s="63"/>
      <c r="D11" s="63"/>
      <c r="E11" s="57" t="str">
        <f>IF(METRYKA!E15="","",METRYKA!E15)</f>
        <v/>
      </c>
      <c r="F11" s="57"/>
      <c r="G11" s="57"/>
      <c r="H11" s="57"/>
      <c r="I11" s="59"/>
    </row>
    <row r="12" spans="1:9">
      <c r="A12" s="27"/>
      <c r="B12" s="57"/>
      <c r="C12" s="57"/>
      <c r="D12" s="57"/>
      <c r="E12" s="29"/>
      <c r="F12" s="29"/>
      <c r="G12" s="29"/>
      <c r="H12" s="29"/>
      <c r="I12" s="30"/>
    </row>
    <row r="13" spans="1:9">
      <c r="A13" s="62" t="s">
        <v>61</v>
      </c>
      <c r="B13" s="63"/>
      <c r="C13" s="63"/>
      <c r="D13" s="63"/>
      <c r="E13" s="63"/>
      <c r="F13" s="29"/>
      <c r="G13" s="29"/>
      <c r="H13" s="29" t="str">
        <f>IF(DOW_CEI!C11="","",DOW_CEI!C11)</f>
        <v/>
      </c>
      <c r="I13" s="30" t="s">
        <v>62</v>
      </c>
    </row>
    <row r="14" spans="1:9">
      <c r="A14" s="27"/>
      <c r="B14" s="29"/>
      <c r="C14" s="29"/>
      <c r="D14" s="29"/>
      <c r="E14" s="29"/>
      <c r="F14" s="29"/>
      <c r="G14" s="29"/>
      <c r="H14" s="29"/>
      <c r="I14" s="30"/>
    </row>
    <row r="15" spans="1:9" ht="15" customHeight="1">
      <c r="A15" s="64" t="s">
        <v>63</v>
      </c>
      <c r="B15" s="65"/>
      <c r="C15" s="65"/>
      <c r="D15" s="65"/>
      <c r="E15" s="65"/>
      <c r="F15" s="65"/>
      <c r="G15" s="58" t="str">
        <f>IF(DOW_CEI!C69="","",DOW_CEI!C69)</f>
        <v/>
      </c>
      <c r="H15" s="58"/>
      <c r="I15" s="66"/>
    </row>
    <row r="16" spans="1:9">
      <c r="A16" s="27"/>
      <c r="B16" s="29"/>
      <c r="C16" s="29"/>
      <c r="D16" s="29"/>
      <c r="E16" s="29"/>
      <c r="F16" s="29"/>
      <c r="G16" s="29"/>
      <c r="H16" s="29"/>
      <c r="I16" s="30"/>
    </row>
    <row r="17" spans="1:9">
      <c r="A17" s="43" t="s">
        <v>87</v>
      </c>
      <c r="B17" s="29"/>
      <c r="C17" s="29"/>
      <c r="D17" s="29"/>
      <c r="E17" s="58" t="s">
        <v>64</v>
      </c>
      <c r="F17" s="58"/>
      <c r="G17" s="58" t="s">
        <v>65</v>
      </c>
      <c r="H17" s="58"/>
      <c r="I17" s="66"/>
    </row>
    <row r="18" spans="1:9">
      <c r="A18" s="27"/>
      <c r="B18" s="29"/>
      <c r="C18" s="29"/>
      <c r="D18" s="29"/>
      <c r="E18" s="29" t="s">
        <v>66</v>
      </c>
      <c r="F18" s="29" t="s">
        <v>67</v>
      </c>
      <c r="G18" s="57" t="s">
        <v>68</v>
      </c>
      <c r="H18" s="57"/>
      <c r="I18" s="59"/>
    </row>
    <row r="19" spans="1:9">
      <c r="A19" s="27"/>
      <c r="B19" s="29"/>
      <c r="C19" s="29"/>
      <c r="D19" s="57"/>
      <c r="E19" s="57"/>
      <c r="F19" s="57"/>
      <c r="G19" s="57"/>
      <c r="H19" s="57"/>
      <c r="I19" s="59"/>
    </row>
    <row r="20" spans="1:9">
      <c r="A20" s="27"/>
      <c r="B20" s="29"/>
      <c r="C20" s="29" t="s">
        <v>47</v>
      </c>
      <c r="D20" s="68" t="str">
        <f>IF(METRYKA!E31="","",METRYKA!E31)</f>
        <v/>
      </c>
      <c r="E20" s="68"/>
      <c r="F20" s="32"/>
      <c r="G20" s="57" t="str">
        <f>IF(DOW_CEI!C70="","",DOW_CEI!C70)</f>
        <v/>
      </c>
      <c r="H20" s="57"/>
      <c r="I20" s="59"/>
    </row>
    <row r="21" spans="1:9">
      <c r="A21" s="27"/>
      <c r="B21" s="29"/>
      <c r="C21" s="29" t="s">
        <v>48</v>
      </c>
      <c r="D21" s="69" t="str">
        <f>IF(METRYKA!E33="","",METRYKA!E33)</f>
        <v/>
      </c>
      <c r="E21" s="69"/>
      <c r="F21" s="33"/>
      <c r="G21" s="58" t="str">
        <f>IF(DOW_CEI!C71="","",DOW_CEI!C71)</f>
        <v/>
      </c>
      <c r="H21" s="58"/>
      <c r="I21" s="66"/>
    </row>
    <row r="22" spans="1:9">
      <c r="A22" s="27"/>
      <c r="B22" s="29"/>
      <c r="C22" s="29" t="s">
        <v>49</v>
      </c>
      <c r="D22" s="68" t="str">
        <f>IF(METRYKA!E35="","",METRYKA!E35)</f>
        <v/>
      </c>
      <c r="E22" s="68"/>
      <c r="F22" s="28"/>
      <c r="G22" s="57" t="str">
        <f>IF(DOW_CEI!C72="","",DOW_CEI!C72)</f>
        <v/>
      </c>
      <c r="H22" s="57"/>
      <c r="I22" s="59"/>
    </row>
    <row r="23" spans="1:9">
      <c r="A23" s="27"/>
      <c r="B23" s="29"/>
      <c r="C23" s="29"/>
      <c r="D23" s="29"/>
      <c r="E23" s="29"/>
      <c r="F23" s="29"/>
      <c r="G23" s="29"/>
      <c r="H23" s="29"/>
      <c r="I23" s="30"/>
    </row>
    <row r="24" spans="1:9">
      <c r="A24" s="62" t="s">
        <v>69</v>
      </c>
      <c r="B24" s="63"/>
      <c r="C24" s="29"/>
      <c r="D24" s="29"/>
      <c r="E24" s="29"/>
      <c r="F24" s="29"/>
      <c r="G24" s="29"/>
      <c r="H24" s="29"/>
      <c r="I24" s="30"/>
    </row>
    <row r="25" spans="1:9">
      <c r="A25" s="27"/>
      <c r="B25" s="29"/>
      <c r="C25" s="29"/>
      <c r="D25" s="29"/>
      <c r="E25" s="29"/>
      <c r="F25" s="29"/>
      <c r="G25" s="29"/>
      <c r="H25" s="57" t="s">
        <v>70</v>
      </c>
      <c r="I25" s="59"/>
    </row>
    <row r="26" spans="1:9">
      <c r="A26" s="27"/>
      <c r="B26" s="67" t="s">
        <v>71</v>
      </c>
      <c r="C26" s="67"/>
      <c r="D26" s="67"/>
      <c r="E26" s="67"/>
      <c r="F26" s="57"/>
      <c r="G26" s="57"/>
      <c r="H26" s="57" t="str">
        <f>IF(METRYKA!E17="","",METRYKA!E17)</f>
        <v/>
      </c>
      <c r="I26" s="59"/>
    </row>
    <row r="27" spans="1:9">
      <c r="A27" s="27"/>
      <c r="B27" s="67"/>
      <c r="C27" s="67"/>
      <c r="D27" s="67"/>
      <c r="E27" s="31"/>
      <c r="F27" s="29"/>
      <c r="G27" s="29"/>
      <c r="H27" s="29"/>
      <c r="I27" s="30"/>
    </row>
    <row r="28" spans="1:9">
      <c r="A28" s="27"/>
      <c r="B28" s="67" t="s">
        <v>72</v>
      </c>
      <c r="C28" s="67"/>
      <c r="D28" s="67"/>
      <c r="E28" s="67"/>
      <c r="F28" s="29"/>
      <c r="G28" s="29"/>
      <c r="H28" s="57" t="str">
        <f>IF(METRYKA!E19="","",METRYKA!E19)</f>
        <v/>
      </c>
      <c r="I28" s="59"/>
    </row>
    <row r="29" spans="1:9">
      <c r="A29" s="27"/>
      <c r="B29" s="67"/>
      <c r="C29" s="67"/>
      <c r="D29" s="67"/>
      <c r="E29" s="31"/>
      <c r="F29" s="29"/>
      <c r="G29" s="29"/>
      <c r="H29" s="29"/>
      <c r="I29" s="30"/>
    </row>
    <row r="30" spans="1:9">
      <c r="A30" s="27"/>
      <c r="B30" s="67" t="s">
        <v>73</v>
      </c>
      <c r="C30" s="67"/>
      <c r="D30" s="67"/>
      <c r="E30" s="67"/>
      <c r="F30" s="67"/>
      <c r="G30" s="29"/>
      <c r="H30" s="57" t="str">
        <f>IF(METRYKA!E21="","",METRYKA!E21)</f>
        <v/>
      </c>
      <c r="I30" s="59"/>
    </row>
    <row r="31" spans="1:9">
      <c r="A31" s="27"/>
      <c r="B31" s="29"/>
      <c r="C31" s="29"/>
      <c r="D31" s="29"/>
      <c r="E31" s="29"/>
      <c r="F31" s="29"/>
      <c r="G31" s="29"/>
      <c r="H31" s="29"/>
      <c r="I31" s="30"/>
    </row>
    <row r="32" spans="1:9">
      <c r="A32" s="27"/>
      <c r="B32" s="29"/>
      <c r="C32" s="29"/>
      <c r="D32" s="29"/>
      <c r="E32" s="29"/>
      <c r="F32" s="29"/>
      <c r="G32" s="29"/>
      <c r="H32" s="29" t="s">
        <v>74</v>
      </c>
      <c r="I32" s="30"/>
    </row>
    <row r="33" spans="1:9">
      <c r="A33" s="62" t="s">
        <v>75</v>
      </c>
      <c r="B33" s="63"/>
      <c r="C33" s="57" t="str">
        <f>IF(METRYKA!E23="","",METRYKA!E23)</f>
        <v/>
      </c>
      <c r="D33" s="57"/>
      <c r="E33" s="29"/>
      <c r="F33" s="29"/>
      <c r="G33" s="29"/>
      <c r="H33" s="70">
        <f ca="1">NOW()</f>
        <v>42181.477910995367</v>
      </c>
      <c r="I33" s="59"/>
    </row>
    <row r="34" spans="1:9">
      <c r="A34" s="27"/>
      <c r="B34" s="29"/>
      <c r="C34" s="29"/>
      <c r="D34" s="29"/>
      <c r="E34" s="29"/>
      <c r="F34" s="29"/>
      <c r="G34" s="29"/>
      <c r="H34" s="29"/>
      <c r="I34" s="30"/>
    </row>
    <row r="35" spans="1:9" ht="15" thickBot="1">
      <c r="A35" s="34" t="s">
        <v>76</v>
      </c>
      <c r="B35" s="35"/>
      <c r="C35" s="71" t="str">
        <f>IF(METRYKA!E25="","",METRYKA!E25)</f>
        <v/>
      </c>
      <c r="D35" s="71"/>
      <c r="E35" s="35"/>
      <c r="F35" s="35"/>
      <c r="G35" s="35"/>
      <c r="H35" s="35"/>
      <c r="I35" s="36"/>
    </row>
  </sheetData>
  <mergeCells count="42">
    <mergeCell ref="A33:B33"/>
    <mergeCell ref="C33:D33"/>
    <mergeCell ref="H33:I33"/>
    <mergeCell ref="C35:D35"/>
    <mergeCell ref="B27:D27"/>
    <mergeCell ref="B28:E28"/>
    <mergeCell ref="H28:I28"/>
    <mergeCell ref="B29:D29"/>
    <mergeCell ref="B30:F30"/>
    <mergeCell ref="H30:I30"/>
    <mergeCell ref="D22:E22"/>
    <mergeCell ref="G22:I22"/>
    <mergeCell ref="A24:B24"/>
    <mergeCell ref="H25:I25"/>
    <mergeCell ref="B26:E26"/>
    <mergeCell ref="F26:G26"/>
    <mergeCell ref="H26:I26"/>
    <mergeCell ref="D19:F19"/>
    <mergeCell ref="G19:I19"/>
    <mergeCell ref="D20:E20"/>
    <mergeCell ref="G20:I20"/>
    <mergeCell ref="D21:E21"/>
    <mergeCell ref="G21:I21"/>
    <mergeCell ref="G18:I18"/>
    <mergeCell ref="A9:C9"/>
    <mergeCell ref="F9:G9"/>
    <mergeCell ref="H9:I9"/>
    <mergeCell ref="A11:D11"/>
    <mergeCell ref="E11:I11"/>
    <mergeCell ref="B12:D12"/>
    <mergeCell ref="A13:E13"/>
    <mergeCell ref="A15:F15"/>
    <mergeCell ref="G15:I15"/>
    <mergeCell ref="E17:F17"/>
    <mergeCell ref="G17:I17"/>
    <mergeCell ref="A7:B7"/>
    <mergeCell ref="C7:I7"/>
    <mergeCell ref="A1:I1"/>
    <mergeCell ref="B3:E3"/>
    <mergeCell ref="G3:I3"/>
    <mergeCell ref="B5:E5"/>
    <mergeCell ref="F5:H5"/>
  </mergeCells>
  <pageMargins left="0.42" right="0.5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I35"/>
  <sheetViews>
    <sheetView showGridLines="0" showRowColHeaders="0" workbookViewId="0">
      <selection activeCell="H23" sqref="H23"/>
    </sheetView>
  </sheetViews>
  <sheetFormatPr defaultRowHeight="14.25"/>
  <sheetData>
    <row r="1" spans="1:9" ht="15.75" customHeight="1">
      <c r="A1" s="54" t="s">
        <v>54</v>
      </c>
      <c r="B1" s="55"/>
      <c r="C1" s="55"/>
      <c r="D1" s="55"/>
      <c r="E1" s="55"/>
      <c r="F1" s="55"/>
      <c r="G1" s="55"/>
      <c r="H1" s="55"/>
      <c r="I1" s="56"/>
    </row>
    <row r="2" spans="1:9">
      <c r="A2" s="27"/>
      <c r="B2" s="29"/>
      <c r="C2" s="29"/>
      <c r="D2" s="29"/>
      <c r="E2" s="29"/>
      <c r="F2" s="29"/>
      <c r="G2" s="29"/>
      <c r="H2" s="29"/>
      <c r="I2" s="30"/>
    </row>
    <row r="3" spans="1:9" ht="14.25" customHeight="1">
      <c r="A3" s="27" t="s">
        <v>55</v>
      </c>
      <c r="B3" s="57" t="str">
        <f>IF(METRYKA!G7="","",METRYKA!G7)</f>
        <v/>
      </c>
      <c r="C3" s="57"/>
      <c r="D3" s="57"/>
      <c r="E3" s="57"/>
      <c r="F3" s="31" t="s">
        <v>56</v>
      </c>
      <c r="G3" s="57" t="str">
        <f>IF(METRYKA!G9="","",METRYKA!G9)</f>
        <v/>
      </c>
      <c r="H3" s="57"/>
      <c r="I3" s="59"/>
    </row>
    <row r="4" spans="1:9">
      <c r="A4" s="27"/>
      <c r="B4" s="29"/>
      <c r="C4" s="29"/>
      <c r="D4" s="29"/>
      <c r="E4" s="29"/>
      <c r="F4" s="29"/>
      <c r="G4" s="29"/>
      <c r="H4" s="29"/>
      <c r="I4" s="30"/>
    </row>
    <row r="5" spans="1:9">
      <c r="A5" s="27" t="s">
        <v>57</v>
      </c>
      <c r="B5" s="58" t="str">
        <f>IF(METRYKA!G27="","",METRYKA!G27)</f>
        <v/>
      </c>
      <c r="C5" s="58"/>
      <c r="D5" s="58"/>
      <c r="E5" s="58"/>
      <c r="F5" s="57" t="s">
        <v>80</v>
      </c>
      <c r="G5" s="57"/>
      <c r="H5" s="57"/>
      <c r="I5" s="30" t="str">
        <f>IF(METRYKA!G11="","",METRYKA!G11)</f>
        <v/>
      </c>
    </row>
    <row r="6" spans="1:9">
      <c r="A6" s="27"/>
      <c r="B6" s="29"/>
      <c r="C6" s="29"/>
      <c r="D6" s="29"/>
      <c r="E6" s="29"/>
      <c r="F6" s="29"/>
      <c r="G6" s="29"/>
      <c r="H6" s="29"/>
      <c r="I6" s="30"/>
    </row>
    <row r="7" spans="1:9">
      <c r="A7" s="60" t="s">
        <v>58</v>
      </c>
      <c r="B7" s="61"/>
      <c r="C7" s="57" t="str">
        <f>IF(METRYKA!G13="","",METRYKA!G13)</f>
        <v/>
      </c>
      <c r="D7" s="57"/>
      <c r="E7" s="57"/>
      <c r="F7" s="57"/>
      <c r="G7" s="57"/>
      <c r="H7" s="57"/>
      <c r="I7" s="59"/>
    </row>
    <row r="8" spans="1:9">
      <c r="A8" s="27"/>
      <c r="B8" s="29"/>
      <c r="C8" s="29"/>
      <c r="D8" s="29"/>
      <c r="E8" s="29"/>
      <c r="F8" s="29"/>
      <c r="G8" s="29"/>
      <c r="H8" s="29"/>
      <c r="I8" s="30"/>
    </row>
    <row r="9" spans="1:9">
      <c r="A9" s="60" t="s">
        <v>85</v>
      </c>
      <c r="B9" s="61"/>
      <c r="C9" s="61"/>
      <c r="D9" s="29" t="str">
        <f>IF(METRYKA!G39="","",METRYKA!G39)</f>
        <v/>
      </c>
      <c r="E9" s="29" t="s">
        <v>59</v>
      </c>
      <c r="F9" s="57" t="s">
        <v>86</v>
      </c>
      <c r="G9" s="57"/>
      <c r="H9" s="57" t="str">
        <f>IF(METRYKA!G37="","",METRYKA!G37)</f>
        <v/>
      </c>
      <c r="I9" s="59"/>
    </row>
    <row r="10" spans="1:9">
      <c r="A10" s="27"/>
      <c r="B10" s="29"/>
      <c r="C10" s="29"/>
      <c r="D10" s="29"/>
      <c r="E10" s="29"/>
      <c r="F10" s="29"/>
      <c r="G10" s="29"/>
      <c r="H10" s="29"/>
      <c r="I10" s="30"/>
    </row>
    <row r="11" spans="1:9">
      <c r="A11" s="62" t="s">
        <v>60</v>
      </c>
      <c r="B11" s="63"/>
      <c r="C11" s="63"/>
      <c r="D11" s="63"/>
      <c r="E11" s="57" t="str">
        <f>IF(METRYKA!G15="","",METRYKA!G15)</f>
        <v/>
      </c>
      <c r="F11" s="57"/>
      <c r="G11" s="57"/>
      <c r="H11" s="57"/>
      <c r="I11" s="59"/>
    </row>
    <row r="12" spans="1:9">
      <c r="A12" s="27"/>
      <c r="B12" s="57"/>
      <c r="C12" s="57"/>
      <c r="D12" s="57"/>
      <c r="E12" s="29"/>
      <c r="F12" s="29"/>
      <c r="G12" s="29"/>
      <c r="H12" s="29"/>
      <c r="I12" s="30"/>
    </row>
    <row r="13" spans="1:9">
      <c r="A13" s="62" t="s">
        <v>61</v>
      </c>
      <c r="B13" s="63"/>
      <c r="C13" s="63"/>
      <c r="D13" s="63"/>
      <c r="E13" s="63"/>
      <c r="F13" s="29"/>
      <c r="G13" s="29"/>
      <c r="H13" s="29" t="str">
        <f>IF(DOW_CEI!D11="","",DOW_CEI!D11)</f>
        <v/>
      </c>
      <c r="I13" s="30" t="s">
        <v>62</v>
      </c>
    </row>
    <row r="14" spans="1:9">
      <c r="A14" s="27"/>
      <c r="B14" s="29"/>
      <c r="C14" s="29"/>
      <c r="D14" s="29"/>
      <c r="E14" s="29"/>
      <c r="F14" s="29"/>
      <c r="G14" s="29"/>
      <c r="H14" s="29"/>
      <c r="I14" s="30"/>
    </row>
    <row r="15" spans="1:9" ht="15" customHeight="1">
      <c r="A15" s="64" t="s">
        <v>63</v>
      </c>
      <c r="B15" s="65"/>
      <c r="C15" s="65"/>
      <c r="D15" s="65"/>
      <c r="E15" s="65"/>
      <c r="F15" s="65"/>
      <c r="G15" s="58" t="str">
        <f>IF(DOW_CEI!D69="","",DOW_CEI!D69)</f>
        <v/>
      </c>
      <c r="H15" s="58"/>
      <c r="I15" s="66"/>
    </row>
    <row r="16" spans="1:9">
      <c r="A16" s="27"/>
      <c r="B16" s="29"/>
      <c r="C16" s="29"/>
      <c r="D16" s="29"/>
      <c r="E16" s="29"/>
      <c r="F16" s="29"/>
      <c r="G16" s="29"/>
      <c r="H16" s="29"/>
      <c r="I16" s="30"/>
    </row>
    <row r="17" spans="1:9">
      <c r="A17" s="43" t="s">
        <v>87</v>
      </c>
      <c r="B17" s="29"/>
      <c r="C17" s="29"/>
      <c r="D17" s="29"/>
      <c r="E17" s="58" t="s">
        <v>64</v>
      </c>
      <c r="F17" s="58"/>
      <c r="G17" s="58" t="s">
        <v>65</v>
      </c>
      <c r="H17" s="58"/>
      <c r="I17" s="66"/>
    </row>
    <row r="18" spans="1:9">
      <c r="A18" s="27"/>
      <c r="B18" s="29"/>
      <c r="C18" s="29"/>
      <c r="D18" s="29"/>
      <c r="E18" s="29" t="s">
        <v>66</v>
      </c>
      <c r="F18" s="29" t="s">
        <v>67</v>
      </c>
      <c r="G18" s="57" t="s">
        <v>68</v>
      </c>
      <c r="H18" s="57"/>
      <c r="I18" s="59"/>
    </row>
    <row r="19" spans="1:9">
      <c r="A19" s="27"/>
      <c r="B19" s="29"/>
      <c r="C19" s="29"/>
      <c r="D19" s="57"/>
      <c r="E19" s="57"/>
      <c r="F19" s="57"/>
      <c r="G19" s="57"/>
      <c r="H19" s="57"/>
      <c r="I19" s="59"/>
    </row>
    <row r="20" spans="1:9">
      <c r="A20" s="27"/>
      <c r="B20" s="29"/>
      <c r="C20" s="29" t="s">
        <v>47</v>
      </c>
      <c r="D20" s="68" t="str">
        <f>IF(METRYKA!E31="","",METRYKA!E31)</f>
        <v/>
      </c>
      <c r="E20" s="68"/>
      <c r="F20" s="32"/>
      <c r="G20" s="57" t="str">
        <f>IF(DOW_CEI!D70="","",DOW_CEI!D70)</f>
        <v/>
      </c>
      <c r="H20" s="57"/>
      <c r="I20" s="59"/>
    </row>
    <row r="21" spans="1:9">
      <c r="A21" s="27"/>
      <c r="B21" s="29"/>
      <c r="C21" s="29" t="s">
        <v>48</v>
      </c>
      <c r="D21" s="69" t="str">
        <f>IF(METRYKA!E33="","",METRYKA!E33)</f>
        <v/>
      </c>
      <c r="E21" s="69"/>
      <c r="F21" s="33"/>
      <c r="G21" s="58" t="str">
        <f>IF(DOW_CEI!D71="","",DOW_CEI!D71)</f>
        <v/>
      </c>
      <c r="H21" s="58"/>
      <c r="I21" s="66"/>
    </row>
    <row r="22" spans="1:9">
      <c r="A22" s="27"/>
      <c r="B22" s="29"/>
      <c r="C22" s="29" t="s">
        <v>49</v>
      </c>
      <c r="D22" s="68" t="str">
        <f>IF(METRYKA!E35="","",METRYKA!E35)</f>
        <v/>
      </c>
      <c r="E22" s="68"/>
      <c r="F22" s="28"/>
      <c r="G22" s="57" t="str">
        <f>IF(DOW_CEI!D72="","",DOW_CEI!D72)</f>
        <v/>
      </c>
      <c r="H22" s="57"/>
      <c r="I22" s="59"/>
    </row>
    <row r="23" spans="1:9">
      <c r="A23" s="27"/>
      <c r="B23" s="29"/>
      <c r="C23" s="29"/>
      <c r="D23" s="29"/>
      <c r="E23" s="29"/>
      <c r="F23" s="29"/>
      <c r="G23" s="29"/>
      <c r="H23" s="29"/>
      <c r="I23" s="30"/>
    </row>
    <row r="24" spans="1:9">
      <c r="A24" s="62" t="s">
        <v>69</v>
      </c>
      <c r="B24" s="63"/>
      <c r="C24" s="29"/>
      <c r="D24" s="29"/>
      <c r="E24" s="29"/>
      <c r="F24" s="29"/>
      <c r="G24" s="29"/>
      <c r="H24" s="29"/>
      <c r="I24" s="30"/>
    </row>
    <row r="25" spans="1:9">
      <c r="A25" s="27"/>
      <c r="B25" s="29"/>
      <c r="C25" s="29"/>
      <c r="D25" s="29"/>
      <c r="E25" s="29"/>
      <c r="F25" s="29"/>
      <c r="G25" s="29"/>
      <c r="H25" s="57" t="s">
        <v>70</v>
      </c>
      <c r="I25" s="59"/>
    </row>
    <row r="26" spans="1:9">
      <c r="A26" s="27"/>
      <c r="B26" s="67" t="s">
        <v>71</v>
      </c>
      <c r="C26" s="67"/>
      <c r="D26" s="67"/>
      <c r="E26" s="67"/>
      <c r="F26" s="57"/>
      <c r="G26" s="57"/>
      <c r="H26" s="57" t="str">
        <f>IF(METRYKA!G17="","",METRYKA!G17)</f>
        <v/>
      </c>
      <c r="I26" s="59"/>
    </row>
    <row r="27" spans="1:9">
      <c r="A27" s="27"/>
      <c r="B27" s="67"/>
      <c r="C27" s="67"/>
      <c r="D27" s="67"/>
      <c r="E27" s="31"/>
      <c r="F27" s="29"/>
      <c r="G27" s="29"/>
      <c r="H27" s="29"/>
      <c r="I27" s="30"/>
    </row>
    <row r="28" spans="1:9">
      <c r="A28" s="27"/>
      <c r="B28" s="67" t="s">
        <v>72</v>
      </c>
      <c r="C28" s="67"/>
      <c r="D28" s="67"/>
      <c r="E28" s="67"/>
      <c r="F28" s="29"/>
      <c r="G28" s="29"/>
      <c r="H28" s="57" t="str">
        <f>IF(METRYKA!G19="","",METRYKA!G19)</f>
        <v/>
      </c>
      <c r="I28" s="59"/>
    </row>
    <row r="29" spans="1:9">
      <c r="A29" s="27"/>
      <c r="B29" s="67"/>
      <c r="C29" s="67"/>
      <c r="D29" s="67"/>
      <c r="E29" s="31"/>
      <c r="F29" s="29"/>
      <c r="G29" s="29"/>
      <c r="H29" s="29"/>
      <c r="I29" s="30"/>
    </row>
    <row r="30" spans="1:9">
      <c r="A30" s="27"/>
      <c r="B30" s="67" t="s">
        <v>73</v>
      </c>
      <c r="C30" s="67"/>
      <c r="D30" s="67"/>
      <c r="E30" s="67"/>
      <c r="F30" s="67"/>
      <c r="G30" s="29"/>
      <c r="H30" s="57" t="str">
        <f>IF(METRYKA!G21="","",METRYKA!G21)</f>
        <v/>
      </c>
      <c r="I30" s="59"/>
    </row>
    <row r="31" spans="1:9">
      <c r="A31" s="27"/>
      <c r="B31" s="29"/>
      <c r="C31" s="29"/>
      <c r="D31" s="29"/>
      <c r="E31" s="29"/>
      <c r="F31" s="29"/>
      <c r="G31" s="29"/>
      <c r="H31" s="29"/>
      <c r="I31" s="30"/>
    </row>
    <row r="32" spans="1:9">
      <c r="A32" s="27"/>
      <c r="B32" s="29"/>
      <c r="C32" s="29"/>
      <c r="D32" s="29"/>
      <c r="E32" s="29"/>
      <c r="F32" s="29"/>
      <c r="G32" s="29"/>
      <c r="H32" s="29" t="s">
        <v>74</v>
      </c>
      <c r="I32" s="30"/>
    </row>
    <row r="33" spans="1:9">
      <c r="A33" s="62" t="s">
        <v>75</v>
      </c>
      <c r="B33" s="63"/>
      <c r="C33" s="57" t="str">
        <f>IF(METRYKA!G23="","",METRYKA!G23)</f>
        <v/>
      </c>
      <c r="D33" s="57"/>
      <c r="E33" s="29"/>
      <c r="F33" s="29"/>
      <c r="G33" s="29"/>
      <c r="H33" s="70">
        <f ca="1">NOW()</f>
        <v>42181.477910995367</v>
      </c>
      <c r="I33" s="59"/>
    </row>
    <row r="34" spans="1:9">
      <c r="A34" s="27"/>
      <c r="B34" s="29"/>
      <c r="C34" s="29"/>
      <c r="D34" s="29"/>
      <c r="E34" s="29"/>
      <c r="F34" s="29"/>
      <c r="G34" s="29"/>
      <c r="H34" s="29"/>
      <c r="I34" s="30"/>
    </row>
    <row r="35" spans="1:9" ht="15" thickBot="1">
      <c r="A35" s="34" t="s">
        <v>76</v>
      </c>
      <c r="B35" s="35"/>
      <c r="C35" s="71" t="str">
        <f>IF(METRYKA!G25="","",METRYKA!G25)</f>
        <v/>
      </c>
      <c r="D35" s="71"/>
      <c r="E35" s="35"/>
      <c r="F35" s="35"/>
      <c r="G35" s="35"/>
      <c r="H35" s="35"/>
      <c r="I35" s="36"/>
    </row>
  </sheetData>
  <mergeCells count="42">
    <mergeCell ref="A33:B33"/>
    <mergeCell ref="C33:D33"/>
    <mergeCell ref="H33:I33"/>
    <mergeCell ref="C35:D35"/>
    <mergeCell ref="B27:D27"/>
    <mergeCell ref="B28:E28"/>
    <mergeCell ref="H28:I28"/>
    <mergeCell ref="B29:D29"/>
    <mergeCell ref="B30:F30"/>
    <mergeCell ref="H30:I30"/>
    <mergeCell ref="D22:E22"/>
    <mergeCell ref="G22:I22"/>
    <mergeCell ref="A24:B24"/>
    <mergeCell ref="H25:I25"/>
    <mergeCell ref="B26:E26"/>
    <mergeCell ref="F26:G26"/>
    <mergeCell ref="H26:I26"/>
    <mergeCell ref="D19:F19"/>
    <mergeCell ref="G19:I19"/>
    <mergeCell ref="D20:E20"/>
    <mergeCell ref="G20:I20"/>
    <mergeCell ref="D21:E21"/>
    <mergeCell ref="G21:I21"/>
    <mergeCell ref="G18:I18"/>
    <mergeCell ref="A9:C9"/>
    <mergeCell ref="F9:G9"/>
    <mergeCell ref="H9:I9"/>
    <mergeCell ref="A11:D11"/>
    <mergeCell ref="E11:I11"/>
    <mergeCell ref="B12:D12"/>
    <mergeCell ref="A13:E13"/>
    <mergeCell ref="A15:F15"/>
    <mergeCell ref="G15:I15"/>
    <mergeCell ref="E17:F17"/>
    <mergeCell ref="G17:I17"/>
    <mergeCell ref="A7:B7"/>
    <mergeCell ref="C7:I7"/>
    <mergeCell ref="A1:I1"/>
    <mergeCell ref="B3:E3"/>
    <mergeCell ref="G3:I3"/>
    <mergeCell ref="B5:E5"/>
    <mergeCell ref="F5:H5"/>
  </mergeCells>
  <pageMargins left="0.42" right="0.5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I35"/>
  <sheetViews>
    <sheetView showGridLines="0" showRowColHeaders="0" workbookViewId="0">
      <selection activeCell="H24" sqref="H24"/>
    </sheetView>
  </sheetViews>
  <sheetFormatPr defaultRowHeight="14.25"/>
  <sheetData>
    <row r="1" spans="1:9" ht="15.75" customHeight="1">
      <c r="A1" s="54" t="s">
        <v>54</v>
      </c>
      <c r="B1" s="55"/>
      <c r="C1" s="55"/>
      <c r="D1" s="55"/>
      <c r="E1" s="55"/>
      <c r="F1" s="55"/>
      <c r="G1" s="55"/>
      <c r="H1" s="55"/>
      <c r="I1" s="56"/>
    </row>
    <row r="2" spans="1:9">
      <c r="A2" s="27"/>
      <c r="B2" s="29"/>
      <c r="C2" s="29"/>
      <c r="D2" s="29"/>
      <c r="E2" s="29"/>
      <c r="F2" s="29"/>
      <c r="G2" s="29"/>
      <c r="H2" s="29"/>
      <c r="I2" s="30"/>
    </row>
    <row r="3" spans="1:9" ht="14.25" customHeight="1">
      <c r="A3" s="27" t="s">
        <v>55</v>
      </c>
      <c r="B3" s="57" t="str">
        <f>IF(METRYKA!I7="","",METRYKA!I7)</f>
        <v/>
      </c>
      <c r="C3" s="57"/>
      <c r="D3" s="57"/>
      <c r="E3" s="57"/>
      <c r="F3" s="31" t="s">
        <v>56</v>
      </c>
      <c r="G3" s="57" t="str">
        <f>IF(METRYKA!I9="","",METRYKA!I9)</f>
        <v/>
      </c>
      <c r="H3" s="57"/>
      <c r="I3" s="59"/>
    </row>
    <row r="4" spans="1:9">
      <c r="A4" s="27"/>
      <c r="B4" s="29"/>
      <c r="C4" s="29"/>
      <c r="D4" s="29"/>
      <c r="E4" s="29"/>
      <c r="F4" s="29"/>
      <c r="G4" s="29"/>
      <c r="H4" s="29"/>
      <c r="I4" s="30"/>
    </row>
    <row r="5" spans="1:9">
      <c r="A5" s="27" t="s">
        <v>57</v>
      </c>
      <c r="B5" s="58" t="str">
        <f>IF(METRYKA!I27="","",METRYKA!I27)</f>
        <v/>
      </c>
      <c r="C5" s="58"/>
      <c r="D5" s="58"/>
      <c r="E5" s="58"/>
      <c r="F5" s="57" t="s">
        <v>80</v>
      </c>
      <c r="G5" s="57"/>
      <c r="H5" s="57"/>
      <c r="I5" s="30" t="str">
        <f>IF(METRYKA!I11="","",METRYKA!I11)</f>
        <v/>
      </c>
    </row>
    <row r="6" spans="1:9">
      <c r="A6" s="27"/>
      <c r="B6" s="29"/>
      <c r="C6" s="29"/>
      <c r="D6" s="29"/>
      <c r="E6" s="29"/>
      <c r="F6" s="29"/>
      <c r="G6" s="29"/>
      <c r="H6" s="29"/>
      <c r="I6" s="30"/>
    </row>
    <row r="7" spans="1:9">
      <c r="A7" s="60" t="s">
        <v>58</v>
      </c>
      <c r="B7" s="61"/>
      <c r="C7" s="57" t="str">
        <f>IF(METRYKA!I13="","",METRYKA!I13)</f>
        <v/>
      </c>
      <c r="D7" s="57"/>
      <c r="E7" s="57"/>
      <c r="F7" s="57"/>
      <c r="G7" s="57"/>
      <c r="H7" s="57"/>
      <c r="I7" s="59"/>
    </row>
    <row r="8" spans="1:9">
      <c r="A8" s="27"/>
      <c r="B8" s="29"/>
      <c r="C8" s="29"/>
      <c r="D8" s="29"/>
      <c r="E8" s="29"/>
      <c r="F8" s="29"/>
      <c r="G8" s="29"/>
      <c r="H8" s="29"/>
      <c r="I8" s="30"/>
    </row>
    <row r="9" spans="1:9">
      <c r="A9" s="60" t="s">
        <v>85</v>
      </c>
      <c r="B9" s="61"/>
      <c r="C9" s="61"/>
      <c r="D9" s="29" t="str">
        <f>IF(METRYKA!I39="","",METRYKA!I39)</f>
        <v/>
      </c>
      <c r="E9" s="29" t="s">
        <v>59</v>
      </c>
      <c r="F9" s="57" t="s">
        <v>86</v>
      </c>
      <c r="G9" s="57"/>
      <c r="H9" s="57" t="str">
        <f>IF(METRYKA!I37="","",METRYKA!I37)</f>
        <v/>
      </c>
      <c r="I9" s="59"/>
    </row>
    <row r="10" spans="1:9">
      <c r="A10" s="27"/>
      <c r="B10" s="29"/>
      <c r="C10" s="29"/>
      <c r="D10" s="29"/>
      <c r="E10" s="29"/>
      <c r="F10" s="29"/>
      <c r="G10" s="29"/>
      <c r="H10" s="29"/>
      <c r="I10" s="30"/>
    </row>
    <row r="11" spans="1:9">
      <c r="A11" s="62" t="s">
        <v>60</v>
      </c>
      <c r="B11" s="63"/>
      <c r="C11" s="63"/>
      <c r="D11" s="63"/>
      <c r="E11" s="57" t="str">
        <f>IF(METRYKA!I15="","",METRYKA!I15)</f>
        <v/>
      </c>
      <c r="F11" s="57"/>
      <c r="G11" s="57"/>
      <c r="H11" s="57"/>
      <c r="I11" s="59"/>
    </row>
    <row r="12" spans="1:9">
      <c r="A12" s="27"/>
      <c r="B12" s="57"/>
      <c r="C12" s="57"/>
      <c r="D12" s="57"/>
      <c r="E12" s="29"/>
      <c r="F12" s="29"/>
      <c r="G12" s="29"/>
      <c r="H12" s="29"/>
      <c r="I12" s="30"/>
    </row>
    <row r="13" spans="1:9">
      <c r="A13" s="62" t="s">
        <v>61</v>
      </c>
      <c r="B13" s="63"/>
      <c r="C13" s="63"/>
      <c r="D13" s="63"/>
      <c r="E13" s="63"/>
      <c r="F13" s="29"/>
      <c r="G13" s="29"/>
      <c r="H13" s="29" t="str">
        <f>IF(DOW_CEI!E11="","",DOW_CEI!E11)</f>
        <v/>
      </c>
      <c r="I13" s="30" t="s">
        <v>62</v>
      </c>
    </row>
    <row r="14" spans="1:9">
      <c r="A14" s="27"/>
      <c r="B14" s="29"/>
      <c r="C14" s="29"/>
      <c r="D14" s="29"/>
      <c r="E14" s="29"/>
      <c r="F14" s="29"/>
      <c r="G14" s="29"/>
      <c r="H14" s="29"/>
      <c r="I14" s="30"/>
    </row>
    <row r="15" spans="1:9" ht="15" customHeight="1">
      <c r="A15" s="64" t="s">
        <v>63</v>
      </c>
      <c r="B15" s="65"/>
      <c r="C15" s="65"/>
      <c r="D15" s="65"/>
      <c r="E15" s="65"/>
      <c r="F15" s="65"/>
      <c r="G15" s="58" t="str">
        <f>IF(DOW_CEI!E69="","",DOW_CEI!E69)</f>
        <v/>
      </c>
      <c r="H15" s="58"/>
      <c r="I15" s="66"/>
    </row>
    <row r="16" spans="1:9">
      <c r="A16" s="27"/>
      <c r="B16" s="29"/>
      <c r="C16" s="29"/>
      <c r="D16" s="29"/>
      <c r="E16" s="29"/>
      <c r="F16" s="29"/>
      <c r="G16" s="29"/>
      <c r="H16" s="29"/>
      <c r="I16" s="30"/>
    </row>
    <row r="17" spans="1:9">
      <c r="A17" s="43" t="s">
        <v>87</v>
      </c>
      <c r="B17" s="29"/>
      <c r="C17" s="29"/>
      <c r="D17" s="29"/>
      <c r="E17" s="58" t="s">
        <v>64</v>
      </c>
      <c r="F17" s="58"/>
      <c r="G17" s="58" t="s">
        <v>65</v>
      </c>
      <c r="H17" s="58"/>
      <c r="I17" s="66"/>
    </row>
    <row r="18" spans="1:9">
      <c r="A18" s="27"/>
      <c r="B18" s="29"/>
      <c r="C18" s="29"/>
      <c r="D18" s="29"/>
      <c r="E18" s="29" t="s">
        <v>66</v>
      </c>
      <c r="F18" s="29" t="s">
        <v>67</v>
      </c>
      <c r="G18" s="57" t="s">
        <v>68</v>
      </c>
      <c r="H18" s="57"/>
      <c r="I18" s="59"/>
    </row>
    <row r="19" spans="1:9">
      <c r="A19" s="27"/>
      <c r="B19" s="29"/>
      <c r="C19" s="29"/>
      <c r="D19" s="57"/>
      <c r="E19" s="57"/>
      <c r="F19" s="57"/>
      <c r="G19" s="57"/>
      <c r="H19" s="57"/>
      <c r="I19" s="59"/>
    </row>
    <row r="20" spans="1:9">
      <c r="A20" s="27"/>
      <c r="B20" s="29"/>
      <c r="C20" s="29" t="s">
        <v>47</v>
      </c>
      <c r="D20" s="68" t="str">
        <f>IF(METRYKA!I31="","",METRYKA!I31)</f>
        <v/>
      </c>
      <c r="E20" s="68"/>
      <c r="F20" s="32"/>
      <c r="G20" s="57" t="str">
        <f>IF(DOW_CEI!E70="","",DOW_CEI!E70)</f>
        <v/>
      </c>
      <c r="H20" s="57"/>
      <c r="I20" s="59"/>
    </row>
    <row r="21" spans="1:9">
      <c r="A21" s="27"/>
      <c r="B21" s="29"/>
      <c r="C21" s="29" t="s">
        <v>48</v>
      </c>
      <c r="D21" s="69" t="str">
        <f>IF(METRYKA!I33="","",METRYKA!I33)</f>
        <v/>
      </c>
      <c r="E21" s="69"/>
      <c r="F21" s="33"/>
      <c r="G21" s="58" t="str">
        <f>IF(DOW_CEI!E71="","",DOW_CEI!E71)</f>
        <v/>
      </c>
      <c r="H21" s="58"/>
      <c r="I21" s="66"/>
    </row>
    <row r="22" spans="1:9">
      <c r="A22" s="27"/>
      <c r="B22" s="29"/>
      <c r="C22" s="29" t="s">
        <v>49</v>
      </c>
      <c r="D22" s="68" t="str">
        <f>IF(METRYKA!I35="","",METRYKA!I35)</f>
        <v/>
      </c>
      <c r="E22" s="68"/>
      <c r="F22" s="28"/>
      <c r="G22" s="57" t="str">
        <f>IF(DOW_CEI!E72="","",DOW_CEI!E72)</f>
        <v/>
      </c>
      <c r="H22" s="57"/>
      <c r="I22" s="59"/>
    </row>
    <row r="23" spans="1:9">
      <c r="A23" s="27"/>
      <c r="B23" s="29"/>
      <c r="C23" s="29"/>
      <c r="D23" s="29"/>
      <c r="E23" s="29"/>
      <c r="F23" s="29"/>
      <c r="G23" s="29"/>
      <c r="H23" s="29"/>
      <c r="I23" s="30"/>
    </row>
    <row r="24" spans="1:9">
      <c r="A24" s="62" t="s">
        <v>69</v>
      </c>
      <c r="B24" s="63"/>
      <c r="C24" s="29"/>
      <c r="D24" s="29"/>
      <c r="E24" s="29"/>
      <c r="F24" s="29"/>
      <c r="G24" s="29"/>
      <c r="H24" s="29"/>
      <c r="I24" s="30"/>
    </row>
    <row r="25" spans="1:9">
      <c r="A25" s="27"/>
      <c r="B25" s="29"/>
      <c r="C25" s="29"/>
      <c r="D25" s="29"/>
      <c r="E25" s="29"/>
      <c r="F25" s="29"/>
      <c r="G25" s="29"/>
      <c r="H25" s="57" t="s">
        <v>70</v>
      </c>
      <c r="I25" s="59"/>
    </row>
    <row r="26" spans="1:9">
      <c r="A26" s="27"/>
      <c r="B26" s="67" t="s">
        <v>71</v>
      </c>
      <c r="C26" s="67"/>
      <c r="D26" s="67"/>
      <c r="E26" s="67"/>
      <c r="F26" s="57"/>
      <c r="G26" s="57"/>
      <c r="H26" s="57" t="str">
        <f>IF(METRYKA!I17="","",METRYKA!I17)</f>
        <v/>
      </c>
      <c r="I26" s="59"/>
    </row>
    <row r="27" spans="1:9">
      <c r="A27" s="27"/>
      <c r="B27" s="67"/>
      <c r="C27" s="67"/>
      <c r="D27" s="67"/>
      <c r="E27" s="31"/>
      <c r="F27" s="29"/>
      <c r="G27" s="29"/>
      <c r="H27" s="29"/>
      <c r="I27" s="30"/>
    </row>
    <row r="28" spans="1:9">
      <c r="A28" s="27"/>
      <c r="B28" s="67" t="s">
        <v>72</v>
      </c>
      <c r="C28" s="67"/>
      <c r="D28" s="67"/>
      <c r="E28" s="67"/>
      <c r="F28" s="29"/>
      <c r="G28" s="29"/>
      <c r="H28" s="57" t="str">
        <f>IF(METRYKA!I19="","",METRYKA!I19)</f>
        <v/>
      </c>
      <c r="I28" s="59"/>
    </row>
    <row r="29" spans="1:9">
      <c r="A29" s="27"/>
      <c r="B29" s="67"/>
      <c r="C29" s="67"/>
      <c r="D29" s="67"/>
      <c r="E29" s="31"/>
      <c r="F29" s="29"/>
      <c r="G29" s="29"/>
      <c r="H29" s="29"/>
      <c r="I29" s="30"/>
    </row>
    <row r="30" spans="1:9">
      <c r="A30" s="27"/>
      <c r="B30" s="67" t="s">
        <v>73</v>
      </c>
      <c r="C30" s="67"/>
      <c r="D30" s="67"/>
      <c r="E30" s="67"/>
      <c r="F30" s="67"/>
      <c r="G30" s="29"/>
      <c r="H30" s="57" t="str">
        <f>IF(METRYKA!I21="","",METRYKA!I21)</f>
        <v/>
      </c>
      <c r="I30" s="59"/>
    </row>
    <row r="31" spans="1:9">
      <c r="A31" s="27"/>
      <c r="B31" s="29"/>
      <c r="C31" s="29"/>
      <c r="D31" s="29"/>
      <c r="E31" s="29"/>
      <c r="F31" s="29"/>
      <c r="G31" s="29"/>
      <c r="H31" s="29"/>
      <c r="I31" s="30"/>
    </row>
    <row r="32" spans="1:9">
      <c r="A32" s="27"/>
      <c r="B32" s="29"/>
      <c r="C32" s="29"/>
      <c r="D32" s="29"/>
      <c r="E32" s="29"/>
      <c r="F32" s="29"/>
      <c r="G32" s="29"/>
      <c r="H32" s="29" t="s">
        <v>74</v>
      </c>
      <c r="I32" s="30"/>
    </row>
    <row r="33" spans="1:9">
      <c r="A33" s="62" t="s">
        <v>75</v>
      </c>
      <c r="B33" s="63"/>
      <c r="C33" s="57" t="str">
        <f>IF(METRYKA!I23="","",METRYKA!I23)</f>
        <v/>
      </c>
      <c r="D33" s="57"/>
      <c r="E33" s="29"/>
      <c r="F33" s="29"/>
      <c r="G33" s="29"/>
      <c r="H33" s="70">
        <f ca="1">NOW()</f>
        <v>42181.477910995367</v>
      </c>
      <c r="I33" s="59"/>
    </row>
    <row r="34" spans="1:9">
      <c r="A34" s="27"/>
      <c r="B34" s="29"/>
      <c r="C34" s="29"/>
      <c r="D34" s="29"/>
      <c r="E34" s="29"/>
      <c r="F34" s="29"/>
      <c r="G34" s="29"/>
      <c r="H34" s="29"/>
      <c r="I34" s="30"/>
    </row>
    <row r="35" spans="1:9" ht="15" thickBot="1">
      <c r="A35" s="34" t="s">
        <v>76</v>
      </c>
      <c r="B35" s="35"/>
      <c r="C35" s="71" t="str">
        <f>IF(METRYKA!I25="","",METRYKA!I25)</f>
        <v/>
      </c>
      <c r="D35" s="71"/>
      <c r="E35" s="35"/>
      <c r="F35" s="35"/>
      <c r="G35" s="35"/>
      <c r="H35" s="35"/>
      <c r="I35" s="36"/>
    </row>
  </sheetData>
  <mergeCells count="42">
    <mergeCell ref="A33:B33"/>
    <mergeCell ref="C33:D33"/>
    <mergeCell ref="H33:I33"/>
    <mergeCell ref="C35:D35"/>
    <mergeCell ref="B27:D27"/>
    <mergeCell ref="B28:E28"/>
    <mergeCell ref="H28:I28"/>
    <mergeCell ref="B29:D29"/>
    <mergeCell ref="B30:F30"/>
    <mergeCell ref="H30:I30"/>
    <mergeCell ref="D22:E22"/>
    <mergeCell ref="G22:I22"/>
    <mergeCell ref="A24:B24"/>
    <mergeCell ref="H25:I25"/>
    <mergeCell ref="B26:E26"/>
    <mergeCell ref="F26:G26"/>
    <mergeCell ref="H26:I26"/>
    <mergeCell ref="D19:F19"/>
    <mergeCell ref="G19:I19"/>
    <mergeCell ref="D20:E20"/>
    <mergeCell ref="G20:I20"/>
    <mergeCell ref="D21:E21"/>
    <mergeCell ref="G21:I21"/>
    <mergeCell ref="G18:I18"/>
    <mergeCell ref="A9:C9"/>
    <mergeCell ref="F9:G9"/>
    <mergeCell ref="H9:I9"/>
    <mergeCell ref="A11:D11"/>
    <mergeCell ref="E11:I11"/>
    <mergeCell ref="B12:D12"/>
    <mergeCell ref="A13:E13"/>
    <mergeCell ref="A15:F15"/>
    <mergeCell ref="G15:I15"/>
    <mergeCell ref="E17:F17"/>
    <mergeCell ref="G17:I17"/>
    <mergeCell ref="A7:B7"/>
    <mergeCell ref="C7:I7"/>
    <mergeCell ref="A1:I1"/>
    <mergeCell ref="B3:E3"/>
    <mergeCell ref="G3:I3"/>
    <mergeCell ref="B5:E5"/>
    <mergeCell ref="F5:H5"/>
  </mergeCells>
  <pageMargins left="0.42" right="0.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1</vt:i4>
      </vt:variant>
    </vt:vector>
  </HeadingPairs>
  <TitlesOfParts>
    <vt:vector size="7" baseType="lpstr">
      <vt:lpstr>METRYKA</vt:lpstr>
      <vt:lpstr>DOW_CEI</vt:lpstr>
      <vt:lpstr>WYNIKI_1</vt:lpstr>
      <vt:lpstr>WYNIKI_2</vt:lpstr>
      <vt:lpstr>WYNIKI_3</vt:lpstr>
      <vt:lpstr>WYNIKI_4</vt:lpstr>
      <vt:lpstr>METRYKA!Obszar_wydruku</vt:lpstr>
    </vt:vector>
  </TitlesOfParts>
  <Company>Polskie Konsorcjum Chemiczne Sp. z o.o.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Skowron</dc:creator>
  <cp:lastModifiedBy>Grzegorz Skowron</cp:lastModifiedBy>
  <cp:lastPrinted>2013-04-22T10:08:05Z</cp:lastPrinted>
  <dcterms:created xsi:type="dcterms:W3CDTF">2013-04-22T07:07:40Z</dcterms:created>
  <dcterms:modified xsi:type="dcterms:W3CDTF">2015-06-26T09:28:31Z</dcterms:modified>
</cp:coreProperties>
</file>